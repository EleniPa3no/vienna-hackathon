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ogos-my.sharepoint.com/personal/konstantinos_giakoumis_kulogos_edu_al/Documents/Kostas New/Articles/Voskopojar Economy/"/>
    </mc:Choice>
  </mc:AlternateContent>
  <xr:revisionPtr revIDLastSave="0" documentId="11_5DBEA6A18D59E9CCE27E8341AD660678578FDA42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5" i="1" l="1"/>
  <c r="M24" i="1"/>
  <c r="M23" i="1"/>
  <c r="M21" i="1"/>
  <c r="M20" i="1"/>
  <c r="O25" i="3"/>
  <c r="O24" i="3"/>
  <c r="O23" i="3"/>
  <c r="O4" i="3"/>
  <c r="O3" i="3"/>
  <c r="O2" i="3"/>
  <c r="F140" i="3"/>
  <c r="F20" i="3"/>
  <c r="E139" i="1" l="1"/>
  <c r="E138" i="1"/>
  <c r="E136" i="1"/>
  <c r="E135" i="1"/>
  <c r="E137" i="1" s="1"/>
  <c r="A27" i="2"/>
  <c r="A20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" i="2"/>
  <c r="B20" i="2"/>
  <c r="M90" i="1" l="1"/>
  <c r="N90" i="1" s="1"/>
  <c r="P63" i="1" l="1"/>
  <c r="O61" i="1"/>
  <c r="P61" i="1" s="1"/>
  <c r="O62" i="1"/>
  <c r="P62" i="1" s="1"/>
  <c r="O63" i="1"/>
  <c r="O64" i="1"/>
  <c r="P64" i="1" s="1"/>
  <c r="O65" i="1"/>
  <c r="P65" i="1" s="1"/>
  <c r="N57" i="1" l="1"/>
  <c r="M8" i="1"/>
  <c r="M7" i="1"/>
  <c r="L58" i="1" l="1"/>
  <c r="R39" i="1"/>
  <c r="R37" i="1"/>
  <c r="R36" i="1"/>
  <c r="M10" i="1" l="1"/>
  <c r="M9" i="1"/>
  <c r="M6" i="1"/>
</calcChain>
</file>

<file path=xl/sharedStrings.xml><?xml version="1.0" encoding="utf-8"?>
<sst xmlns="http://schemas.openxmlformats.org/spreadsheetml/2006/main" count="1057" uniqueCount="257">
  <si>
    <t>Date</t>
  </si>
  <si>
    <t>Borrower</t>
  </si>
  <si>
    <t>Annual Interest Rate</t>
  </si>
  <si>
    <t>Guarantor</t>
  </si>
  <si>
    <t>February 8, 1716</t>
  </si>
  <si>
    <t>Michos Domo</t>
  </si>
  <si>
    <t>Kostis Katesias</t>
  </si>
  <si>
    <t>July 29, 1716</t>
  </si>
  <si>
    <t> </t>
  </si>
  <si>
    <t>Michos Popotsi</t>
  </si>
  <si>
    <t>Nikolas Rosiani</t>
  </si>
  <si>
    <t>Nikos Nikolitzanis</t>
  </si>
  <si>
    <t>Giannousios Niska</t>
  </si>
  <si>
    <t>Totas Tzokas</t>
  </si>
  <si>
    <t>Nikolas Katesias</t>
  </si>
  <si>
    <t>Damos Koukis</t>
  </si>
  <si>
    <t>Giannos Kovnas</t>
  </si>
  <si>
    <t>Timzos Mazia</t>
  </si>
  <si>
    <t>Vrousias Katesias</t>
  </si>
  <si>
    <t>Totos Papanastasi</t>
  </si>
  <si>
    <t>Nikolas Tzaprazi</t>
  </si>
  <si>
    <t>Michos Kionis</t>
  </si>
  <si>
    <t>Stamos Katesias</t>
  </si>
  <si>
    <t>June 29, 1718</t>
  </si>
  <si>
    <t>Michos Popotzis</t>
  </si>
  <si>
    <t>no interest???</t>
  </si>
  <si>
    <t>Timos Tarmaris</t>
  </si>
  <si>
    <t>Georgis Panko</t>
  </si>
  <si>
    <t>Totos Kota</t>
  </si>
  <si>
    <t>Nikos Kardaras</t>
  </si>
  <si>
    <t>Andreas Analia</t>
  </si>
  <si>
    <t>Totos Rakazia</t>
  </si>
  <si>
    <t>June 30, 1718</t>
  </si>
  <si>
    <t>Sinas Gkioni</t>
  </si>
  <si>
    <t>July 1, 1718</t>
  </si>
  <si>
    <t>Kotzos Sideris</t>
  </si>
  <si>
    <t>July 29, 1718</t>
  </si>
  <si>
    <t>Nastos Vertzou</t>
  </si>
  <si>
    <t>Ntrios Ourianilie</t>
  </si>
  <si>
    <t>Nikarousios Tzoupratzis</t>
  </si>
  <si>
    <t>Kotzos Vokilis</t>
  </si>
  <si>
    <t>Tzimtzos Mazie</t>
  </si>
  <si>
    <t>Thanasis Kanatis &amp; Ntrios Ourianilie</t>
  </si>
  <si>
    <t>Michos Kioni Agrou</t>
  </si>
  <si>
    <t>Tote Kota</t>
  </si>
  <si>
    <t>Timos Tirmarki</t>
  </si>
  <si>
    <t>Totos Tzokas</t>
  </si>
  <si>
    <t>Thanasios Tzokas</t>
  </si>
  <si>
    <t>Sinos Kioni Agrou</t>
  </si>
  <si>
    <t>Gianis Kolasies</t>
  </si>
  <si>
    <t>Michos Popotzi</t>
  </si>
  <si>
    <t>Kostis Papastavres</t>
  </si>
  <si>
    <t>Giorgis Tanas</t>
  </si>
  <si>
    <t>Mihalis Polta</t>
  </si>
  <si>
    <t>Gianousios Niska</t>
  </si>
  <si>
    <t>Kirgios Ropano</t>
  </si>
  <si>
    <t>June 30, 1720</t>
  </si>
  <si>
    <t>Totos Pamperi</t>
  </si>
  <si>
    <t>Vrousias Polta</t>
  </si>
  <si>
    <t>Sinas Giannaki</t>
  </si>
  <si>
    <t>Timos Ouriaklie</t>
  </si>
  <si>
    <t>Michos Kioni Agklou</t>
  </si>
  <si>
    <t>Giorgis Toupou</t>
  </si>
  <si>
    <t>Nikos Tzapratzi</t>
  </si>
  <si>
    <t>Gianousis Konsta</t>
  </si>
  <si>
    <t>Vrousias Moukoulis</t>
  </si>
  <si>
    <t>Totos Pala</t>
  </si>
  <si>
    <t>Vretos Koata</t>
  </si>
  <si>
    <t>Totos Pesini</t>
  </si>
  <si>
    <t>Giorgis Katesia</t>
  </si>
  <si>
    <t>Gianis Kirtzis</t>
  </si>
  <si>
    <t>Kirgia nephew of Kitriou Ouriaklie</t>
  </si>
  <si>
    <t>Kirsis Kirtzi</t>
  </si>
  <si>
    <t>Niskos Katesia</t>
  </si>
  <si>
    <t>Starkos Katesia</t>
  </si>
  <si>
    <t>Nastos Vourgaris</t>
  </si>
  <si>
    <t>Kotzas Skourti</t>
  </si>
  <si>
    <t>Tzotze student of Kosti Katesia</t>
  </si>
  <si>
    <t>Michos Kioni</t>
  </si>
  <si>
    <t>Pettros Hotzolis</t>
  </si>
  <si>
    <t>Veligoris Samartzis</t>
  </si>
  <si>
    <t>Niskos Kirgiri</t>
  </si>
  <si>
    <t>Michos Katesia</t>
  </si>
  <si>
    <t>Theodoros Mpatoukas</t>
  </si>
  <si>
    <t>Nastos Kavaliotou</t>
  </si>
  <si>
    <t>Timtzos nephew of Trousani</t>
  </si>
  <si>
    <t>July 12, 1727</t>
  </si>
  <si>
    <t>Prentos Pripchieti</t>
  </si>
  <si>
    <t>Ntrios Ouriaklie</t>
  </si>
  <si>
    <t>Transaction #</t>
  </si>
  <si>
    <t>Toti Tsope</t>
  </si>
  <si>
    <t>Kostis Krapovaris</t>
  </si>
  <si>
    <t>Tima Tourta</t>
  </si>
  <si>
    <t>Folio</t>
  </si>
  <si>
    <t>2r</t>
  </si>
  <si>
    <t>Quantity (in Aspres)</t>
  </si>
  <si>
    <t>Georgios Perchatαris</t>
  </si>
  <si>
    <t>Yanko of Mitre Pethani</t>
  </si>
  <si>
    <t>Simos of Vrousia Chrysikou</t>
  </si>
  <si>
    <t>Trio Ouriakle</t>
  </si>
  <si>
    <t>Tzotos of Dima</t>
  </si>
  <si>
    <t>Georgios</t>
  </si>
  <si>
    <t>Perchataris</t>
  </si>
  <si>
    <t>Giorgis Pango</t>
  </si>
  <si>
    <t>Kirgios Rosiani</t>
  </si>
  <si>
    <t>Katesias</t>
  </si>
  <si>
    <t>Kostis</t>
  </si>
  <si>
    <t>Popotzi</t>
  </si>
  <si>
    <t>Michos</t>
  </si>
  <si>
    <t>Michos of father Andrea</t>
  </si>
  <si>
    <t>Michos of father Eureti Dimo</t>
  </si>
  <si>
    <t>Nitzios of father Georgi Basa</t>
  </si>
  <si>
    <t>Fr Dimitris Milosi</t>
  </si>
  <si>
    <t>Fr Gianis Argan</t>
  </si>
  <si>
    <t>Fr Giorgis of Kosti Kotou</t>
  </si>
  <si>
    <t>Fr Giras Liveri</t>
  </si>
  <si>
    <t>Fr Michalis Pichta</t>
  </si>
  <si>
    <t>Fr Mihalis Polta</t>
  </si>
  <si>
    <t>Fr Thanasis Kanatis</t>
  </si>
  <si>
    <t>Fr Thanasis Nasios</t>
  </si>
  <si>
    <t>Fr Theodoros Kirtzi</t>
  </si>
  <si>
    <t>Child of Fr Georgi Niska</t>
  </si>
  <si>
    <t>Thanasis of father Saouli</t>
  </si>
  <si>
    <t>Fr Thanasi &amp; Andrea Ouriaklie</t>
  </si>
  <si>
    <t>Fr Theodoros</t>
  </si>
  <si>
    <t>Yankos of father Nikola Kiona</t>
  </si>
  <si>
    <t>Yankos Kina</t>
  </si>
  <si>
    <t>Fr Theodoros of Giani</t>
  </si>
  <si>
    <t>Dakos, brother of Michos Pamperis</t>
  </si>
  <si>
    <t>Pichta</t>
  </si>
  <si>
    <t>Michalis Fr</t>
  </si>
  <si>
    <t>Kanatis</t>
  </si>
  <si>
    <t>Thanasis Fr</t>
  </si>
  <si>
    <t>Kirtzi</t>
  </si>
  <si>
    <t>Theodoros Fr</t>
  </si>
  <si>
    <t>Theodors Fr</t>
  </si>
  <si>
    <t>Son of Giani</t>
  </si>
  <si>
    <t>Gianousios</t>
  </si>
  <si>
    <t>Niska</t>
  </si>
  <si>
    <t>Kionis</t>
  </si>
  <si>
    <t>Nastos Kourte Vertzou</t>
  </si>
  <si>
    <t>Vertzou</t>
  </si>
  <si>
    <t>Nastos</t>
  </si>
  <si>
    <t>Kardaras</t>
  </si>
  <si>
    <t>Nikos</t>
  </si>
  <si>
    <t>Ntrios Ouraklie</t>
  </si>
  <si>
    <t>Ouraklie</t>
  </si>
  <si>
    <t>Ntrios</t>
  </si>
  <si>
    <t>Thanasis of Theodore Penati</t>
  </si>
  <si>
    <t>Mazia</t>
  </si>
  <si>
    <t>Timzo</t>
  </si>
  <si>
    <t>Toto</t>
  </si>
  <si>
    <t>Kota</t>
  </si>
  <si>
    <t>Papanastasi</t>
  </si>
  <si>
    <t>Vrousias</t>
  </si>
  <si>
    <t>Moukoulis</t>
  </si>
  <si>
    <t>Polta</t>
  </si>
  <si>
    <t>Yankos</t>
  </si>
  <si>
    <t>Son of Fr. Nikola Kiona</t>
  </si>
  <si>
    <t>Surname</t>
  </si>
  <si>
    <t>Tzapratzi</t>
  </si>
  <si>
    <t>Nikolas</t>
  </si>
  <si>
    <t>#</t>
  </si>
  <si>
    <t>√</t>
  </si>
  <si>
    <t>√ √</t>
  </si>
  <si>
    <t>Vokilis</t>
  </si>
  <si>
    <t>Domo</t>
  </si>
  <si>
    <t>Tsope</t>
  </si>
  <si>
    <t>Popotsi</t>
  </si>
  <si>
    <t>Krapovaris (Grabova)</t>
  </si>
  <si>
    <t>Tourta</t>
  </si>
  <si>
    <t>Georgis Phakiolis</t>
  </si>
  <si>
    <t>Phakiolis</t>
  </si>
  <si>
    <t>Rosiani</t>
  </si>
  <si>
    <t>Nikolitzanis (Nikolica)</t>
  </si>
  <si>
    <t>Tzokas</t>
  </si>
  <si>
    <t>Koukis</t>
  </si>
  <si>
    <t>Kovnas</t>
  </si>
  <si>
    <t>Tzaprazi</t>
  </si>
  <si>
    <t>Penati</t>
  </si>
  <si>
    <t>Gianni</t>
  </si>
  <si>
    <t>Fr Theodoros of Gianni</t>
  </si>
  <si>
    <t>Tarmaris</t>
  </si>
  <si>
    <t>Panko</t>
  </si>
  <si>
    <t>Kina</t>
  </si>
  <si>
    <t>Rakazia</t>
  </si>
  <si>
    <t>Gkioni</t>
  </si>
  <si>
    <t>Sideris</t>
  </si>
  <si>
    <t>Tirmarki</t>
  </si>
  <si>
    <t>Agrou</t>
  </si>
  <si>
    <t>Nasios</t>
  </si>
  <si>
    <t>Kolasies</t>
  </si>
  <si>
    <t>Liveri</t>
  </si>
  <si>
    <t>Papastavres</t>
  </si>
  <si>
    <t>Pango</t>
  </si>
  <si>
    <t>Milosi</t>
  </si>
  <si>
    <t>Tanas</t>
  </si>
  <si>
    <t>Dimo</t>
  </si>
  <si>
    <t>Ropano</t>
  </si>
  <si>
    <t>Kostis Perchataris</t>
  </si>
  <si>
    <t>Pamperi</t>
  </si>
  <si>
    <t>Giannaki</t>
  </si>
  <si>
    <t>Sino Giannaki</t>
  </si>
  <si>
    <t>Agklou</t>
  </si>
  <si>
    <t>Toupou</t>
  </si>
  <si>
    <t>Fr. Saoulis</t>
  </si>
  <si>
    <t>Fr. Andreas</t>
  </si>
  <si>
    <t>Konsta</t>
  </si>
  <si>
    <t>Pala</t>
  </si>
  <si>
    <t>Koata</t>
  </si>
  <si>
    <t>Pesini</t>
  </si>
  <si>
    <t>Vourgaris</t>
  </si>
  <si>
    <t>Skourti</t>
  </si>
  <si>
    <t>Chrysikou</t>
  </si>
  <si>
    <t>Pethani</t>
  </si>
  <si>
    <t>Hotzolis</t>
  </si>
  <si>
    <t>Timasi</t>
  </si>
  <si>
    <t>Argan</t>
  </si>
  <si>
    <t>Samartzis</t>
  </si>
  <si>
    <t>Kirgiri</t>
  </si>
  <si>
    <t>Kotou</t>
  </si>
  <si>
    <t>Dima</t>
  </si>
  <si>
    <t>Basa</t>
  </si>
  <si>
    <t>Kavaliotou</t>
  </si>
  <si>
    <t>Trousani</t>
  </si>
  <si>
    <t>Pripcheti</t>
  </si>
  <si>
    <t>credit beneficiaries</t>
  </si>
  <si>
    <t>repeated beneficiaries</t>
  </si>
  <si>
    <t>19v</t>
  </si>
  <si>
    <t>16v</t>
  </si>
  <si>
    <t>17r, 20v</t>
  </si>
  <si>
    <t>17r</t>
  </si>
  <si>
    <t>Voskopoja Tailors</t>
  </si>
  <si>
    <t>Year</t>
  </si>
  <si>
    <t>Number of Credit Recipients</t>
  </si>
  <si>
    <t>Name</t>
  </si>
  <si>
    <t>Newly certified masters</t>
  </si>
  <si>
    <t>YEAR</t>
  </si>
  <si>
    <t>CREDIT</t>
  </si>
  <si>
    <t>INTEREST %</t>
  </si>
  <si>
    <r>
      <t>INTEREST IN KURU</t>
    </r>
    <r>
      <rPr>
        <b/>
        <sz val="11"/>
        <color theme="1"/>
        <rFont val="Calibri"/>
        <family val="2"/>
      </rPr>
      <t>Ş</t>
    </r>
  </si>
  <si>
    <t>ANNUAL CREDIT MATURATION</t>
  </si>
  <si>
    <t>Number of Loans</t>
  </si>
  <si>
    <t>Rate of Credit Class</t>
  </si>
  <si>
    <r>
      <t xml:space="preserve">Credit Level (in </t>
    </r>
    <r>
      <rPr>
        <b/>
        <i/>
        <sz val="11"/>
        <color theme="1"/>
        <rFont val="Calibri"/>
        <family val="2"/>
        <scheme val="minor"/>
      </rPr>
      <t>kuruş</t>
    </r>
    <r>
      <rPr>
        <b/>
        <sz val="11"/>
        <color theme="1"/>
        <rFont val="Calibri"/>
        <family val="2"/>
        <scheme val="minor"/>
      </rPr>
      <t>)</t>
    </r>
  </si>
  <si>
    <t>Average</t>
  </si>
  <si>
    <t>Median</t>
  </si>
  <si>
    <t>Mean</t>
  </si>
  <si>
    <t>Mode</t>
  </si>
  <si>
    <t>Range</t>
  </si>
  <si>
    <t>MIN</t>
  </si>
  <si>
    <t>MAX</t>
  </si>
  <si>
    <t>Yanko of Tima Timasi &amp; his father</t>
  </si>
  <si>
    <t>Mean of Priests' Interest Rates</t>
  </si>
  <si>
    <t>Mean of Lay Masters Interest Rates</t>
  </si>
  <si>
    <t>Mean of Priestly Masters Interest Rates</t>
  </si>
  <si>
    <t>Georgios Perchataris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</si>
</sst>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sz val="10"/>
      <color rgb="FFFF0000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0">
    <xf numFmtId="0" fontId="0" fillId="0" borderId="0" xfId="0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9" fontId="5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9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/>
    <xf numFmtId="10" fontId="1" fillId="0" borderId="0" xfId="0" applyNumberFormat="1" applyFont="1"/>
    <xf numFmtId="10" fontId="1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/>
    <xf numFmtId="3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1" fontId="0" fillId="0" borderId="0" xfId="0" applyNumberFormat="1"/>
    <xf numFmtId="0" fontId="1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interest rate flows in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Sheet1!$L$20:$L$25</c:f>
              <c:numCache>
                <c:formatCode>General</c:formatCode>
                <c:ptCount val="5"/>
                <c:pt idx="0">
                  <c:v>1716</c:v>
                </c:pt>
                <c:pt idx="1">
                  <c:v>1718</c:v>
                </c:pt>
                <c:pt idx="2">
                  <c:v>1720</c:v>
                </c:pt>
                <c:pt idx="3">
                  <c:v>1726</c:v>
                </c:pt>
                <c:pt idx="4">
                  <c:v>1727</c:v>
                </c:pt>
              </c:numCache>
            </c:numRef>
          </c:xVal>
          <c:yVal>
            <c:numRef>
              <c:f>Sheet1!$M$20:$M$25</c:f>
              <c:numCache>
                <c:formatCode>0%</c:formatCode>
                <c:ptCount val="5"/>
                <c:pt idx="0">
                  <c:v>0.20000000000000007</c:v>
                </c:pt>
                <c:pt idx="1">
                  <c:v>0.11578947368421055</c:v>
                </c:pt>
                <c:pt idx="2">
                  <c:v>0.14393939393939392</c:v>
                </c:pt>
                <c:pt idx="3">
                  <c:v>0.14134615384615387</c:v>
                </c:pt>
                <c:pt idx="4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7-4B78-8CD6-D6BB6A94E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79296"/>
        <c:axId val="97081216"/>
      </c:scatterChart>
      <c:valAx>
        <c:axId val="9707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81216"/>
        <c:crosses val="autoZero"/>
        <c:crossBetween val="midCat"/>
      </c:valAx>
      <c:valAx>
        <c:axId val="9708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Comparative Chart of Credit-Lending Volumes in kuruş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Voskopoja Tailors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Sheet1!$L$3:$L$14</c:f>
              <c:numCache>
                <c:formatCode>General</c:formatCode>
                <c:ptCount val="12"/>
                <c:pt idx="0">
                  <c:v>1662</c:v>
                </c:pt>
                <c:pt idx="1">
                  <c:v>1680</c:v>
                </c:pt>
                <c:pt idx="2">
                  <c:v>1681</c:v>
                </c:pt>
                <c:pt idx="3">
                  <c:v>1716</c:v>
                </c:pt>
                <c:pt idx="4">
                  <c:v>1718</c:v>
                </c:pt>
                <c:pt idx="5">
                  <c:v>1720</c:v>
                </c:pt>
                <c:pt idx="6">
                  <c:v>1726</c:v>
                </c:pt>
                <c:pt idx="7">
                  <c:v>1727</c:v>
                </c:pt>
                <c:pt idx="8">
                  <c:v>1765</c:v>
                </c:pt>
                <c:pt idx="9">
                  <c:v>1780</c:v>
                </c:pt>
                <c:pt idx="10">
                  <c:v>1785</c:v>
                </c:pt>
                <c:pt idx="11">
                  <c:v>1789</c:v>
                </c:pt>
              </c:numCache>
            </c:numRef>
          </c:cat>
          <c:val>
            <c:numRef>
              <c:f>Sheet1!$M$3:$M$14</c:f>
              <c:numCache>
                <c:formatCode>General</c:formatCode>
                <c:ptCount val="12"/>
                <c:pt idx="3">
                  <c:v>26080</c:v>
                </c:pt>
                <c:pt idx="4">
                  <c:v>31600</c:v>
                </c:pt>
                <c:pt idx="5">
                  <c:v>48400</c:v>
                </c:pt>
                <c:pt idx="6">
                  <c:v>85900</c:v>
                </c:pt>
                <c:pt idx="7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3-4B5C-AE98-43FD5EEB59BC}"/>
            </c:ext>
          </c:extLst>
        </c:ser>
        <c:ser>
          <c:idx val="1"/>
          <c:order val="1"/>
          <c:tx>
            <c:v>Elbasan Silversmiths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Sheet1!$L$3:$L$14</c:f>
              <c:numCache>
                <c:formatCode>General</c:formatCode>
                <c:ptCount val="12"/>
                <c:pt idx="0">
                  <c:v>1662</c:v>
                </c:pt>
                <c:pt idx="1">
                  <c:v>1680</c:v>
                </c:pt>
                <c:pt idx="2">
                  <c:v>1681</c:v>
                </c:pt>
                <c:pt idx="3">
                  <c:v>1716</c:v>
                </c:pt>
                <c:pt idx="4">
                  <c:v>1718</c:v>
                </c:pt>
                <c:pt idx="5">
                  <c:v>1720</c:v>
                </c:pt>
                <c:pt idx="6">
                  <c:v>1726</c:v>
                </c:pt>
                <c:pt idx="7">
                  <c:v>1727</c:v>
                </c:pt>
                <c:pt idx="8">
                  <c:v>1765</c:v>
                </c:pt>
                <c:pt idx="9">
                  <c:v>1780</c:v>
                </c:pt>
                <c:pt idx="10">
                  <c:v>1785</c:v>
                </c:pt>
                <c:pt idx="11">
                  <c:v>1789</c:v>
                </c:pt>
              </c:numCache>
            </c:numRef>
          </c:cat>
          <c:val>
            <c:numRef>
              <c:f>Sheet1!$N$3:$N$14</c:f>
              <c:numCache>
                <c:formatCode>General</c:formatCode>
                <c:ptCount val="12"/>
                <c:pt idx="0">
                  <c:v>6213</c:v>
                </c:pt>
                <c:pt idx="1">
                  <c:v>8690</c:v>
                </c:pt>
                <c:pt idx="2">
                  <c:v>10110</c:v>
                </c:pt>
                <c:pt idx="8">
                  <c:v>32000</c:v>
                </c:pt>
                <c:pt idx="9">
                  <c:v>36000</c:v>
                </c:pt>
                <c:pt idx="10">
                  <c:v>44500</c:v>
                </c:pt>
                <c:pt idx="11">
                  <c:v>53200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43-4B5C-AE98-43FD5EEB59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3200488"/>
        <c:axId val="403194584"/>
      </c:barChart>
      <c:catAx>
        <c:axId val="403200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of credit lent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94584"/>
        <c:crosses val="autoZero"/>
        <c:auto val="1"/>
        <c:lblAlgn val="ctr"/>
        <c:lblOffset val="100"/>
        <c:noMultiLvlLbl val="0"/>
      </c:catAx>
      <c:valAx>
        <c:axId val="40319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Credit in kuruş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20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200025</xdr:colOff>
      <xdr:row>16</xdr:row>
      <xdr:rowOff>161925</xdr:rowOff>
    </xdr:from>
    <xdr:to>
      <xdr:col>20</xdr:col>
      <xdr:colOff>504825</xdr:colOff>
      <xdr:row>31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3F0C04-2FF0-4141-95D1-8E628EB05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257175</xdr:colOff>
      <xdr:row>0</xdr:row>
      <xdr:rowOff>76200</xdr:rowOff>
    </xdr:from>
    <xdr:to>
      <xdr:col>26</xdr:col>
      <xdr:colOff>295275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5D0604-EF0E-4103-A866-40846D5EA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42"/>
  <sheetViews>
    <sheetView tabSelected="1" zoomScaleNormal="100" workbookViewId="0">
      <selection activeCell="K16" sqref="K16"/>
    </sheetView>
  </sheetViews>
  <sheetFormatPr defaultRowHeight="15" x14ac:dyDescent="0.25"/>
  <cols>
    <col min="1" max="1" width="11.28515625" customWidth="1"/>
    <col min="2" max="2" width="14.42578125" bestFit="1" customWidth="1"/>
    <col min="3" max="3" width="24.5703125" customWidth="1"/>
    <col min="4" max="4" width="18.85546875" customWidth="1"/>
    <col min="5" max="5" width="10.7109375" bestFit="1" customWidth="1"/>
    <col min="6" max="6" width="17.42578125" bestFit="1" customWidth="1"/>
    <col min="7" max="7" width="11" customWidth="1"/>
    <col min="8" max="8" width="13.85546875" customWidth="1"/>
    <col min="10" max="10" width="12.42578125" customWidth="1"/>
    <col min="11" max="11" width="27.140625" customWidth="1"/>
    <col min="14" max="14" width="13.42578125" customWidth="1"/>
    <col min="15" max="15" width="18.42578125" customWidth="1"/>
    <col min="16" max="16" width="32.140625" customWidth="1"/>
  </cols>
  <sheetData>
    <row r="1" spans="1:14" ht="25.5" x14ac:dyDescent="0.25">
      <c r="A1" s="4" t="s">
        <v>89</v>
      </c>
      <c r="B1" s="5" t="s">
        <v>0</v>
      </c>
      <c r="C1" s="5" t="s">
        <v>1</v>
      </c>
      <c r="D1" s="9" t="s">
        <v>159</v>
      </c>
      <c r="E1" s="5" t="s">
        <v>95</v>
      </c>
      <c r="F1" s="5" t="s">
        <v>2</v>
      </c>
      <c r="G1" s="9" t="s">
        <v>93</v>
      </c>
      <c r="H1" s="5" t="s">
        <v>3</v>
      </c>
    </row>
    <row r="2" spans="1:14" x14ac:dyDescent="0.25">
      <c r="A2" s="1">
        <v>1</v>
      </c>
      <c r="B2" s="2" t="s">
        <v>4</v>
      </c>
      <c r="C2" s="2" t="s">
        <v>5</v>
      </c>
      <c r="D2" s="2" t="s">
        <v>166</v>
      </c>
      <c r="E2" s="2">
        <v>1600</v>
      </c>
      <c r="F2" s="6">
        <v>0.2</v>
      </c>
      <c r="G2" s="7" t="s">
        <v>94</v>
      </c>
      <c r="H2" s="3" t="s">
        <v>6</v>
      </c>
      <c r="J2" s="14" t="s">
        <v>233</v>
      </c>
      <c r="K2" s="14" t="s">
        <v>234</v>
      </c>
      <c r="M2" s="16" t="s">
        <v>232</v>
      </c>
    </row>
    <row r="3" spans="1:14" x14ac:dyDescent="0.25">
      <c r="A3" s="1">
        <v>2</v>
      </c>
      <c r="B3" s="2" t="s">
        <v>7</v>
      </c>
      <c r="C3" s="2" t="s">
        <v>90</v>
      </c>
      <c r="D3" s="2" t="s">
        <v>167</v>
      </c>
      <c r="E3" s="2">
        <v>1000</v>
      </c>
      <c r="F3" s="6">
        <v>0.2</v>
      </c>
      <c r="G3" s="7"/>
      <c r="H3" s="2" t="s">
        <v>8</v>
      </c>
      <c r="J3" s="14">
        <v>1716</v>
      </c>
      <c r="K3" s="19">
        <v>24</v>
      </c>
      <c r="L3">
        <v>1662</v>
      </c>
      <c r="N3">
        <v>6213</v>
      </c>
    </row>
    <row r="4" spans="1:14" x14ac:dyDescent="0.25">
      <c r="A4" s="1">
        <v>3</v>
      </c>
      <c r="B4" s="2" t="s">
        <v>7</v>
      </c>
      <c r="C4" s="2" t="s">
        <v>96</v>
      </c>
      <c r="D4" s="2" t="s">
        <v>102</v>
      </c>
      <c r="E4" s="2">
        <v>1000</v>
      </c>
      <c r="F4" s="6">
        <v>0.2</v>
      </c>
      <c r="G4" s="7"/>
      <c r="H4" s="2" t="s">
        <v>8</v>
      </c>
      <c r="J4" s="14">
        <v>1718</v>
      </c>
      <c r="K4" s="19">
        <v>20</v>
      </c>
      <c r="L4">
        <v>1680</v>
      </c>
      <c r="N4">
        <v>8690</v>
      </c>
    </row>
    <row r="5" spans="1:14" x14ac:dyDescent="0.25">
      <c r="A5" s="1">
        <v>4</v>
      </c>
      <c r="B5" s="2" t="s">
        <v>7</v>
      </c>
      <c r="C5" s="2" t="s">
        <v>9</v>
      </c>
      <c r="D5" s="2" t="s">
        <v>168</v>
      </c>
      <c r="E5" s="2">
        <v>1000</v>
      </c>
      <c r="F5" s="6">
        <v>0.2</v>
      </c>
      <c r="G5" s="7"/>
      <c r="H5" s="2" t="s">
        <v>8</v>
      </c>
      <c r="J5" s="14">
        <v>1720</v>
      </c>
      <c r="K5" s="19">
        <v>33</v>
      </c>
      <c r="L5">
        <v>1681</v>
      </c>
      <c r="N5">
        <v>10110</v>
      </c>
    </row>
    <row r="6" spans="1:14" x14ac:dyDescent="0.25">
      <c r="A6" s="1">
        <v>5</v>
      </c>
      <c r="B6" s="2" t="s">
        <v>7</v>
      </c>
      <c r="C6" s="2" t="s">
        <v>91</v>
      </c>
      <c r="D6" s="2" t="s">
        <v>169</v>
      </c>
      <c r="E6" s="2">
        <v>960</v>
      </c>
      <c r="F6" s="6">
        <v>0.2</v>
      </c>
      <c r="G6" s="7"/>
      <c r="H6" s="2" t="s">
        <v>8</v>
      </c>
      <c r="J6" s="14">
        <v>1726</v>
      </c>
      <c r="K6" s="19">
        <v>53</v>
      </c>
      <c r="L6">
        <v>1716</v>
      </c>
      <c r="M6">
        <f>SUM(E2:E25)</f>
        <v>26080</v>
      </c>
    </row>
    <row r="7" spans="1:14" x14ac:dyDescent="0.25">
      <c r="A7" s="1">
        <v>6</v>
      </c>
      <c r="B7" s="2" t="s">
        <v>7</v>
      </c>
      <c r="C7" s="2" t="s">
        <v>92</v>
      </c>
      <c r="D7" s="2" t="s">
        <v>170</v>
      </c>
      <c r="E7" s="2">
        <v>960</v>
      </c>
      <c r="F7" s="6">
        <v>0.2</v>
      </c>
      <c r="G7" s="7"/>
      <c r="H7" s="2" t="s">
        <v>8</v>
      </c>
      <c r="J7" s="14">
        <v>1727</v>
      </c>
      <c r="K7" s="19">
        <v>2</v>
      </c>
      <c r="L7">
        <v>1718</v>
      </c>
      <c r="M7">
        <f>SUM(E26:E44)</f>
        <v>31600</v>
      </c>
    </row>
    <row r="8" spans="1:14" x14ac:dyDescent="0.25">
      <c r="A8" s="1">
        <v>7</v>
      </c>
      <c r="B8" s="2" t="s">
        <v>7</v>
      </c>
      <c r="C8" s="2" t="s">
        <v>171</v>
      </c>
      <c r="D8" s="2" t="s">
        <v>172</v>
      </c>
      <c r="E8" s="2">
        <v>300</v>
      </c>
      <c r="F8" s="6">
        <v>0.2</v>
      </c>
      <c r="G8" s="7"/>
      <c r="H8" s="2" t="s">
        <v>8</v>
      </c>
      <c r="J8" s="20"/>
      <c r="L8">
        <v>1720</v>
      </c>
      <c r="M8">
        <f>SUM(E45:E78)</f>
        <v>48400</v>
      </c>
    </row>
    <row r="9" spans="1:14" x14ac:dyDescent="0.25">
      <c r="A9" s="1">
        <v>8</v>
      </c>
      <c r="B9" s="2" t="s">
        <v>7</v>
      </c>
      <c r="C9" s="2" t="s">
        <v>10</v>
      </c>
      <c r="D9" s="2" t="s">
        <v>173</v>
      </c>
      <c r="E9" s="2">
        <v>1260</v>
      </c>
      <c r="F9" s="6">
        <v>0.2</v>
      </c>
      <c r="G9" s="7"/>
      <c r="H9" s="2" t="s">
        <v>8</v>
      </c>
      <c r="L9">
        <v>1726</v>
      </c>
      <c r="M9">
        <f>SUM(E79:E131)</f>
        <v>85900</v>
      </c>
    </row>
    <row r="10" spans="1:14" x14ac:dyDescent="0.25">
      <c r="A10" s="1">
        <v>9</v>
      </c>
      <c r="B10" s="2" t="s">
        <v>7</v>
      </c>
      <c r="C10" s="2" t="s">
        <v>11</v>
      </c>
      <c r="D10" s="2" t="s">
        <v>174</v>
      </c>
      <c r="E10" s="2">
        <v>1900</v>
      </c>
      <c r="F10" s="6">
        <v>0.2</v>
      </c>
      <c r="G10" s="7"/>
      <c r="H10" s="2" t="s">
        <v>8</v>
      </c>
      <c r="L10">
        <v>1727</v>
      </c>
      <c r="M10">
        <f>SUM(E132:E133)</f>
        <v>2600</v>
      </c>
    </row>
    <row r="11" spans="1:14" x14ac:dyDescent="0.25">
      <c r="A11" s="1">
        <v>10</v>
      </c>
      <c r="B11" s="2" t="s">
        <v>7</v>
      </c>
      <c r="C11" s="2" t="s">
        <v>12</v>
      </c>
      <c r="D11" s="2" t="s">
        <v>138</v>
      </c>
      <c r="E11" s="2">
        <v>1000</v>
      </c>
      <c r="F11" s="6">
        <v>0.2</v>
      </c>
      <c r="G11" s="7"/>
      <c r="H11" s="2" t="s">
        <v>8</v>
      </c>
      <c r="L11">
        <v>1765</v>
      </c>
      <c r="N11">
        <v>32000</v>
      </c>
    </row>
    <row r="12" spans="1:14" x14ac:dyDescent="0.25">
      <c r="A12" s="1">
        <v>11</v>
      </c>
      <c r="B12" s="2" t="s">
        <v>7</v>
      </c>
      <c r="C12" s="2" t="s">
        <v>13</v>
      </c>
      <c r="D12" s="2" t="s">
        <v>175</v>
      </c>
      <c r="E12" s="2">
        <v>1000</v>
      </c>
      <c r="F12" s="6">
        <v>0.2</v>
      </c>
      <c r="G12" s="7"/>
      <c r="H12" s="2" t="s">
        <v>8</v>
      </c>
      <c r="L12">
        <v>1780</v>
      </c>
      <c r="N12">
        <v>36000</v>
      </c>
    </row>
    <row r="13" spans="1:14" x14ac:dyDescent="0.25">
      <c r="A13" s="1">
        <v>12</v>
      </c>
      <c r="B13" s="2" t="s">
        <v>7</v>
      </c>
      <c r="C13" s="2" t="s">
        <v>14</v>
      </c>
      <c r="D13" s="2" t="s">
        <v>105</v>
      </c>
      <c r="E13" s="2">
        <v>2000</v>
      </c>
      <c r="F13" s="6">
        <v>0.2</v>
      </c>
      <c r="G13" s="7"/>
      <c r="H13" s="2" t="s">
        <v>8</v>
      </c>
      <c r="L13">
        <v>1785</v>
      </c>
      <c r="N13">
        <v>44500</v>
      </c>
    </row>
    <row r="14" spans="1:14" x14ac:dyDescent="0.25">
      <c r="A14" s="1">
        <v>13</v>
      </c>
      <c r="B14" s="2" t="s">
        <v>7</v>
      </c>
      <c r="C14" s="2" t="s">
        <v>15</v>
      </c>
      <c r="D14" s="2" t="s">
        <v>176</v>
      </c>
      <c r="E14" s="2">
        <v>800</v>
      </c>
      <c r="F14" s="6">
        <v>0.2</v>
      </c>
      <c r="G14" s="7"/>
      <c r="H14" s="2" t="s">
        <v>8</v>
      </c>
      <c r="L14">
        <v>1789</v>
      </c>
      <c r="N14">
        <v>53200</v>
      </c>
    </row>
    <row r="15" spans="1:14" x14ac:dyDescent="0.25">
      <c r="A15" s="1">
        <v>14</v>
      </c>
      <c r="B15" s="2" t="s">
        <v>7</v>
      </c>
      <c r="C15" s="2" t="s">
        <v>16</v>
      </c>
      <c r="D15" s="2" t="s">
        <v>177</v>
      </c>
      <c r="E15" s="2">
        <v>300</v>
      </c>
      <c r="F15" s="6">
        <v>0.2</v>
      </c>
      <c r="G15" s="7"/>
      <c r="H15" s="2" t="s">
        <v>8</v>
      </c>
    </row>
    <row r="16" spans="1:14" x14ac:dyDescent="0.25">
      <c r="A16" s="1">
        <v>15</v>
      </c>
      <c r="B16" s="2" t="s">
        <v>7</v>
      </c>
      <c r="C16" s="2" t="s">
        <v>17</v>
      </c>
      <c r="D16" s="2" t="s">
        <v>149</v>
      </c>
      <c r="E16" s="2">
        <v>2000</v>
      </c>
      <c r="F16" s="6">
        <v>0.2</v>
      </c>
      <c r="G16" s="7"/>
      <c r="H16" s="2" t="s">
        <v>8</v>
      </c>
    </row>
    <row r="17" spans="1:13" x14ac:dyDescent="0.25">
      <c r="A17" s="1">
        <v>16</v>
      </c>
      <c r="B17" s="2" t="s">
        <v>7</v>
      </c>
      <c r="C17" s="2" t="s">
        <v>18</v>
      </c>
      <c r="D17" s="2" t="s">
        <v>105</v>
      </c>
      <c r="E17" s="2">
        <v>1000</v>
      </c>
      <c r="F17" s="6">
        <v>0.2</v>
      </c>
      <c r="G17" s="7"/>
      <c r="H17" s="2" t="s">
        <v>8</v>
      </c>
    </row>
    <row r="18" spans="1:13" x14ac:dyDescent="0.25">
      <c r="A18" s="1">
        <v>17</v>
      </c>
      <c r="B18" s="2" t="s">
        <v>7</v>
      </c>
      <c r="C18" s="2" t="s">
        <v>19</v>
      </c>
      <c r="D18" s="2" t="s">
        <v>153</v>
      </c>
      <c r="E18" s="2">
        <v>1000</v>
      </c>
      <c r="F18" s="6">
        <v>0.2</v>
      </c>
      <c r="G18" s="7"/>
      <c r="H18" s="2" t="s">
        <v>8</v>
      </c>
    </row>
    <row r="19" spans="1:13" x14ac:dyDescent="0.25">
      <c r="A19" s="1">
        <v>18</v>
      </c>
      <c r="B19" s="2" t="s">
        <v>7</v>
      </c>
      <c r="C19" s="2" t="s">
        <v>20</v>
      </c>
      <c r="D19" s="2" t="s">
        <v>178</v>
      </c>
      <c r="E19" s="2">
        <v>1000</v>
      </c>
      <c r="F19" s="6">
        <v>0.2</v>
      </c>
      <c r="G19" s="7"/>
      <c r="H19" s="2" t="s">
        <v>8</v>
      </c>
    </row>
    <row r="20" spans="1:13" x14ac:dyDescent="0.25">
      <c r="A20" s="1">
        <v>19</v>
      </c>
      <c r="B20" s="2" t="s">
        <v>7</v>
      </c>
      <c r="C20" s="2" t="s">
        <v>21</v>
      </c>
      <c r="D20" s="2" t="s">
        <v>139</v>
      </c>
      <c r="E20" s="2">
        <v>1000</v>
      </c>
      <c r="F20" s="6">
        <v>0.2</v>
      </c>
      <c r="G20" s="7"/>
      <c r="H20" s="2" t="s">
        <v>8</v>
      </c>
      <c r="L20">
        <v>1716</v>
      </c>
      <c r="M20" s="11">
        <f>AVERAGE(F2:F25)</f>
        <v>0.20000000000000007</v>
      </c>
    </row>
    <row r="21" spans="1:13" x14ac:dyDescent="0.25">
      <c r="A21" s="1">
        <v>20</v>
      </c>
      <c r="B21" s="2" t="s">
        <v>7</v>
      </c>
      <c r="C21" s="2" t="s">
        <v>148</v>
      </c>
      <c r="D21" s="2" t="s">
        <v>179</v>
      </c>
      <c r="E21" s="2">
        <v>1000</v>
      </c>
      <c r="F21" s="6">
        <v>0.2</v>
      </c>
      <c r="G21" s="7"/>
      <c r="H21" s="2" t="s">
        <v>8</v>
      </c>
      <c r="L21">
        <v>1718</v>
      </c>
      <c r="M21" s="11">
        <f>AVERAGE(F26:F45)</f>
        <v>0.11578947368421055</v>
      </c>
    </row>
    <row r="22" spans="1:13" hidden="1" x14ac:dyDescent="0.25">
      <c r="A22" s="1">
        <v>21</v>
      </c>
      <c r="B22" s="2" t="s">
        <v>7</v>
      </c>
      <c r="C22" s="2" t="s">
        <v>181</v>
      </c>
      <c r="D22" s="2" t="s">
        <v>180</v>
      </c>
      <c r="E22" s="2">
        <v>1000</v>
      </c>
      <c r="F22" s="6">
        <v>0.2</v>
      </c>
      <c r="G22" s="7"/>
      <c r="H22" s="2" t="s">
        <v>8</v>
      </c>
      <c r="L22">
        <v>1720</v>
      </c>
      <c r="M22" s="11">
        <v>0.15</v>
      </c>
    </row>
    <row r="23" spans="1:13" x14ac:dyDescent="0.25">
      <c r="A23" s="1">
        <v>22</v>
      </c>
      <c r="B23" s="2" t="s">
        <v>7</v>
      </c>
      <c r="C23" s="2" t="s">
        <v>22</v>
      </c>
      <c r="D23" s="2" t="s">
        <v>105</v>
      </c>
      <c r="E23" s="2">
        <v>1000</v>
      </c>
      <c r="F23" s="6">
        <v>0.2</v>
      </c>
      <c r="G23" s="7"/>
      <c r="H23" s="2" t="s">
        <v>8</v>
      </c>
      <c r="L23">
        <v>1720</v>
      </c>
      <c r="M23" s="11">
        <f>AVERAGE(F46:F78)</f>
        <v>0.14393939393939392</v>
      </c>
    </row>
    <row r="24" spans="1:13" x14ac:dyDescent="0.25">
      <c r="A24" s="1">
        <v>23</v>
      </c>
      <c r="B24" s="2" t="s">
        <v>7</v>
      </c>
      <c r="C24" s="2" t="s">
        <v>6</v>
      </c>
      <c r="D24" s="2" t="s">
        <v>105</v>
      </c>
      <c r="E24" s="2">
        <v>1000</v>
      </c>
      <c r="F24" s="6">
        <v>0.2</v>
      </c>
      <c r="G24" s="7"/>
      <c r="H24" s="2" t="s">
        <v>8</v>
      </c>
      <c r="L24">
        <v>1726</v>
      </c>
      <c r="M24" s="11">
        <f>AVERAGE(F79:F131)</f>
        <v>0.14134615384615387</v>
      </c>
    </row>
    <row r="25" spans="1:13" x14ac:dyDescent="0.25">
      <c r="A25" s="1">
        <v>24</v>
      </c>
      <c r="B25" s="2" t="s">
        <v>7</v>
      </c>
      <c r="C25" s="2" t="s">
        <v>58</v>
      </c>
      <c r="D25" s="2" t="s">
        <v>156</v>
      </c>
      <c r="E25" s="2">
        <v>1000</v>
      </c>
      <c r="F25" s="6">
        <v>0.2</v>
      </c>
      <c r="G25" s="7"/>
      <c r="H25" s="2" t="s">
        <v>8</v>
      </c>
      <c r="L25">
        <v>1727</v>
      </c>
      <c r="M25" s="11">
        <f>AVERAGE(F132:F133)</f>
        <v>0.1</v>
      </c>
    </row>
    <row r="26" spans="1:13" x14ac:dyDescent="0.25">
      <c r="A26" s="1">
        <v>25</v>
      </c>
      <c r="B26" s="2" t="s">
        <v>23</v>
      </c>
      <c r="C26" s="2" t="s">
        <v>96</v>
      </c>
      <c r="D26" s="2" t="s">
        <v>102</v>
      </c>
      <c r="E26" s="2">
        <v>2000</v>
      </c>
      <c r="F26" s="6">
        <v>0.2</v>
      </c>
      <c r="G26" s="7"/>
      <c r="H26" s="2" t="s">
        <v>8</v>
      </c>
    </row>
    <row r="27" spans="1:13" x14ac:dyDescent="0.25">
      <c r="A27" s="1">
        <v>26</v>
      </c>
      <c r="B27" s="2" t="s">
        <v>23</v>
      </c>
      <c r="C27" s="2" t="s">
        <v>24</v>
      </c>
      <c r="D27" s="2" t="s">
        <v>168</v>
      </c>
      <c r="E27" s="2">
        <v>1000</v>
      </c>
      <c r="F27" s="7" t="s">
        <v>25</v>
      </c>
      <c r="G27" s="7"/>
      <c r="H27" s="2" t="s">
        <v>8</v>
      </c>
    </row>
    <row r="28" spans="1:13" x14ac:dyDescent="0.25">
      <c r="A28" s="1">
        <v>27</v>
      </c>
      <c r="B28" s="2" t="s">
        <v>23</v>
      </c>
      <c r="C28" s="2" t="s">
        <v>20</v>
      </c>
      <c r="D28" s="2" t="s">
        <v>178</v>
      </c>
      <c r="E28" s="2">
        <v>1000</v>
      </c>
      <c r="F28" s="6">
        <v>0.2</v>
      </c>
      <c r="G28" s="7"/>
      <c r="H28" s="2" t="s">
        <v>8</v>
      </c>
    </row>
    <row r="29" spans="1:13" ht="23.25" x14ac:dyDescent="0.25">
      <c r="A29" s="1">
        <v>28</v>
      </c>
      <c r="B29" s="2" t="s">
        <v>23</v>
      </c>
      <c r="C29" s="2" t="s">
        <v>17</v>
      </c>
      <c r="D29" s="2" t="s">
        <v>149</v>
      </c>
      <c r="E29" s="2">
        <v>2000</v>
      </c>
      <c r="F29" s="6">
        <v>0.1</v>
      </c>
      <c r="G29" s="7"/>
      <c r="H29" s="3" t="s">
        <v>123</v>
      </c>
    </row>
    <row r="30" spans="1:13" x14ac:dyDescent="0.25">
      <c r="A30" s="1">
        <v>29</v>
      </c>
      <c r="B30" s="2" t="s">
        <v>23</v>
      </c>
      <c r="C30" s="2" t="s">
        <v>19</v>
      </c>
      <c r="D30" s="2" t="s">
        <v>153</v>
      </c>
      <c r="E30" s="2">
        <v>2000</v>
      </c>
      <c r="F30" s="6">
        <v>0.1</v>
      </c>
      <c r="G30" s="7"/>
      <c r="H30" s="2" t="s">
        <v>8</v>
      </c>
    </row>
    <row r="31" spans="1:13" x14ac:dyDescent="0.25">
      <c r="A31" s="1">
        <v>30</v>
      </c>
      <c r="B31" s="2" t="s">
        <v>23</v>
      </c>
      <c r="C31" s="2" t="s">
        <v>19</v>
      </c>
      <c r="D31" s="2" t="s">
        <v>153</v>
      </c>
      <c r="E31" s="2">
        <v>1000</v>
      </c>
      <c r="F31" s="6">
        <v>0.1</v>
      </c>
      <c r="G31" s="7"/>
      <c r="H31" s="2" t="s">
        <v>8</v>
      </c>
    </row>
    <row r="32" spans="1:13" x14ac:dyDescent="0.25">
      <c r="A32" s="1">
        <v>31</v>
      </c>
      <c r="B32" s="2" t="s">
        <v>23</v>
      </c>
      <c r="C32" s="2" t="s">
        <v>26</v>
      </c>
      <c r="D32" s="2" t="s">
        <v>182</v>
      </c>
      <c r="E32" s="2">
        <v>1000</v>
      </c>
      <c r="F32" s="6">
        <v>0.1</v>
      </c>
      <c r="G32" s="7"/>
      <c r="H32" s="2" t="s">
        <v>8</v>
      </c>
    </row>
    <row r="33" spans="1:18" x14ac:dyDescent="0.25">
      <c r="A33" s="1">
        <v>32</v>
      </c>
      <c r="B33" s="2" t="s">
        <v>23</v>
      </c>
      <c r="C33" s="2" t="s">
        <v>21</v>
      </c>
      <c r="D33" s="2" t="s">
        <v>139</v>
      </c>
      <c r="E33" s="2">
        <v>1000</v>
      </c>
      <c r="F33" s="6">
        <v>0.1</v>
      </c>
      <c r="G33" s="7"/>
      <c r="H33" s="2" t="s">
        <v>8</v>
      </c>
    </row>
    <row r="34" spans="1:18" hidden="1" x14ac:dyDescent="0.25">
      <c r="A34" s="1">
        <v>33</v>
      </c>
      <c r="B34" s="2" t="s">
        <v>23</v>
      </c>
      <c r="C34" s="2" t="s">
        <v>118</v>
      </c>
      <c r="D34" s="2" t="s">
        <v>131</v>
      </c>
      <c r="E34" s="2">
        <v>2000</v>
      </c>
      <c r="F34" s="6">
        <v>0.1</v>
      </c>
      <c r="G34" s="7"/>
      <c r="H34" s="2" t="s">
        <v>8</v>
      </c>
    </row>
    <row r="35" spans="1:18" x14ac:dyDescent="0.25">
      <c r="A35" s="1">
        <v>34</v>
      </c>
      <c r="B35" s="2" t="s">
        <v>23</v>
      </c>
      <c r="C35" s="2" t="s">
        <v>6</v>
      </c>
      <c r="D35" s="2" t="s">
        <v>105</v>
      </c>
      <c r="E35" s="2">
        <v>6000</v>
      </c>
      <c r="F35" s="6">
        <v>0.1</v>
      </c>
      <c r="G35" s="7"/>
      <c r="H35" s="2" t="s">
        <v>8</v>
      </c>
      <c r="I35" s="13"/>
      <c r="J35" s="14" t="s">
        <v>159</v>
      </c>
      <c r="K35" s="14" t="s">
        <v>235</v>
      </c>
      <c r="L35" s="14">
        <v>1716</v>
      </c>
      <c r="M35" s="14">
        <v>1718</v>
      </c>
      <c r="N35" s="14">
        <v>1720</v>
      </c>
      <c r="O35" s="14">
        <v>1726</v>
      </c>
      <c r="P35" s="14">
        <v>1727</v>
      </c>
      <c r="Q35" s="14" t="s">
        <v>162</v>
      </c>
    </row>
    <row r="36" spans="1:18" hidden="1" x14ac:dyDescent="0.25">
      <c r="A36" s="1">
        <v>35</v>
      </c>
      <c r="B36" s="2" t="s">
        <v>23</v>
      </c>
      <c r="C36" s="2" t="s">
        <v>120</v>
      </c>
      <c r="D36" s="2" t="s">
        <v>133</v>
      </c>
      <c r="E36" s="2">
        <v>2000</v>
      </c>
      <c r="F36" s="6">
        <v>0.1</v>
      </c>
      <c r="G36" s="7"/>
      <c r="H36" s="2" t="s">
        <v>8</v>
      </c>
      <c r="I36" s="12">
        <v>1</v>
      </c>
      <c r="J36" s="13" t="s">
        <v>137</v>
      </c>
      <c r="K36" s="13" t="s">
        <v>138</v>
      </c>
      <c r="L36" s="15" t="s">
        <v>163</v>
      </c>
      <c r="M36" s="14"/>
      <c r="N36" s="14" t="s">
        <v>163</v>
      </c>
      <c r="O36" s="14"/>
      <c r="P36" s="14"/>
      <c r="Q36" s="14">
        <v>2</v>
      </c>
      <c r="R36" s="18">
        <f>11/20</f>
        <v>0.55000000000000004</v>
      </c>
    </row>
    <row r="37" spans="1:18" x14ac:dyDescent="0.25">
      <c r="A37" s="1">
        <v>36</v>
      </c>
      <c r="B37" s="2" t="s">
        <v>23</v>
      </c>
      <c r="C37" s="2" t="s">
        <v>27</v>
      </c>
      <c r="D37" s="2" t="s">
        <v>183</v>
      </c>
      <c r="E37" s="2">
        <v>2000</v>
      </c>
      <c r="F37" s="6">
        <v>0.1</v>
      </c>
      <c r="G37" s="7"/>
      <c r="H37" s="2" t="s">
        <v>8</v>
      </c>
      <c r="I37" s="12">
        <v>2</v>
      </c>
      <c r="J37" s="13" t="s">
        <v>131</v>
      </c>
      <c r="K37" s="13" t="s">
        <v>132</v>
      </c>
      <c r="L37" s="14"/>
      <c r="M37" s="14" t="s">
        <v>163</v>
      </c>
      <c r="N37" s="14" t="s">
        <v>163</v>
      </c>
      <c r="O37" s="14" t="s">
        <v>163</v>
      </c>
      <c r="P37" s="14"/>
      <c r="Q37" s="14">
        <v>3</v>
      </c>
      <c r="R37" s="18">
        <f>7/20</f>
        <v>0.35</v>
      </c>
    </row>
    <row r="38" spans="1:18" x14ac:dyDescent="0.25">
      <c r="A38" s="1">
        <v>37</v>
      </c>
      <c r="B38" s="2" t="s">
        <v>23</v>
      </c>
      <c r="C38" s="2" t="s">
        <v>126</v>
      </c>
      <c r="D38" s="2" t="s">
        <v>184</v>
      </c>
      <c r="E38" s="2">
        <v>1000</v>
      </c>
      <c r="F38" s="6">
        <v>0.1</v>
      </c>
      <c r="G38" s="7"/>
      <c r="H38" s="2" t="s">
        <v>8</v>
      </c>
      <c r="I38" s="12">
        <v>3</v>
      </c>
      <c r="J38" s="13" t="s">
        <v>143</v>
      </c>
      <c r="K38" s="13" t="s">
        <v>144</v>
      </c>
      <c r="L38" s="14"/>
      <c r="M38" s="14" t="s">
        <v>163</v>
      </c>
      <c r="N38" s="14" t="s">
        <v>163</v>
      </c>
      <c r="O38" s="14" t="s">
        <v>163</v>
      </c>
      <c r="P38" s="14"/>
      <c r="Q38" s="14">
        <v>3</v>
      </c>
      <c r="R38" s="12"/>
    </row>
    <row r="39" spans="1:18" x14ac:dyDescent="0.25">
      <c r="A39" s="1">
        <v>38</v>
      </c>
      <c r="B39" s="2" t="s">
        <v>23</v>
      </c>
      <c r="C39" s="2" t="s">
        <v>28</v>
      </c>
      <c r="D39" s="2" t="s">
        <v>152</v>
      </c>
      <c r="E39" s="2">
        <v>1000</v>
      </c>
      <c r="F39" s="6">
        <v>0.1</v>
      </c>
      <c r="G39" s="7"/>
      <c r="H39" s="2" t="s">
        <v>8</v>
      </c>
      <c r="I39" s="12">
        <v>4</v>
      </c>
      <c r="J39" s="13" t="s">
        <v>105</v>
      </c>
      <c r="K39" s="13" t="s">
        <v>106</v>
      </c>
      <c r="L39" s="14" t="s">
        <v>163</v>
      </c>
      <c r="M39" s="14" t="s">
        <v>163</v>
      </c>
      <c r="N39" s="14" t="s">
        <v>163</v>
      </c>
      <c r="O39" s="14" t="s">
        <v>163</v>
      </c>
      <c r="P39" s="14"/>
      <c r="Q39" s="14">
        <v>4</v>
      </c>
      <c r="R39" s="18">
        <f>2/20</f>
        <v>0.1</v>
      </c>
    </row>
    <row r="40" spans="1:18" x14ac:dyDescent="0.25">
      <c r="A40" s="1">
        <v>39</v>
      </c>
      <c r="B40" s="2" t="s">
        <v>23</v>
      </c>
      <c r="C40" s="2" t="s">
        <v>29</v>
      </c>
      <c r="D40" s="2" t="s">
        <v>143</v>
      </c>
      <c r="E40" s="2">
        <v>2000</v>
      </c>
      <c r="F40" s="6">
        <v>0.1</v>
      </c>
      <c r="G40" s="7"/>
      <c r="H40" s="3" t="s">
        <v>30</v>
      </c>
      <c r="I40" s="12">
        <v>5</v>
      </c>
      <c r="J40" s="13" t="s">
        <v>105</v>
      </c>
      <c r="K40" s="13" t="s">
        <v>154</v>
      </c>
      <c r="L40" s="14" t="s">
        <v>163</v>
      </c>
      <c r="M40" s="14"/>
      <c r="N40" s="14"/>
      <c r="O40" s="14" t="s">
        <v>163</v>
      </c>
      <c r="P40" s="14"/>
      <c r="Q40" s="14">
        <v>2</v>
      </c>
    </row>
    <row r="41" spans="1:18" x14ac:dyDescent="0.25">
      <c r="A41" s="1">
        <v>40</v>
      </c>
      <c r="B41" s="2" t="s">
        <v>23</v>
      </c>
      <c r="C41" s="2" t="s">
        <v>31</v>
      </c>
      <c r="D41" s="2" t="s">
        <v>185</v>
      </c>
      <c r="E41" s="2">
        <v>1000</v>
      </c>
      <c r="F41" s="6">
        <v>0.1</v>
      </c>
      <c r="G41" s="7"/>
      <c r="H41" s="3" t="s">
        <v>124</v>
      </c>
      <c r="I41" s="12">
        <v>6</v>
      </c>
      <c r="J41" s="13" t="s">
        <v>139</v>
      </c>
      <c r="K41" s="13" t="s">
        <v>108</v>
      </c>
      <c r="L41" s="14" t="s">
        <v>163</v>
      </c>
      <c r="M41" s="14" t="s">
        <v>163</v>
      </c>
      <c r="N41" s="14"/>
      <c r="O41" s="14"/>
      <c r="P41" s="14"/>
      <c r="Q41" s="14">
        <v>2</v>
      </c>
    </row>
    <row r="42" spans="1:18" x14ac:dyDescent="0.25">
      <c r="A42" s="1">
        <v>41</v>
      </c>
      <c r="B42" s="2" t="s">
        <v>23</v>
      </c>
      <c r="C42" s="2" t="s">
        <v>145</v>
      </c>
      <c r="D42" s="2" t="s">
        <v>146</v>
      </c>
      <c r="E42" s="2">
        <v>1200</v>
      </c>
      <c r="F42" s="6">
        <v>0.1</v>
      </c>
      <c r="G42" s="7"/>
      <c r="H42" s="2" t="s">
        <v>8</v>
      </c>
      <c r="I42" s="12">
        <v>7</v>
      </c>
      <c r="J42" s="13" t="s">
        <v>133</v>
      </c>
      <c r="K42" s="13" t="s">
        <v>134</v>
      </c>
      <c r="L42" s="14"/>
      <c r="M42" s="14" t="s">
        <v>163</v>
      </c>
      <c r="N42" s="14" t="s">
        <v>163</v>
      </c>
      <c r="O42" s="14"/>
      <c r="P42" s="14"/>
      <c r="Q42" s="14">
        <v>2</v>
      </c>
    </row>
    <row r="43" spans="1:18" x14ac:dyDescent="0.25">
      <c r="A43" s="1">
        <v>42</v>
      </c>
      <c r="B43" s="2" t="s">
        <v>32</v>
      </c>
      <c r="C43" s="2" t="s">
        <v>33</v>
      </c>
      <c r="D43" s="2" t="s">
        <v>186</v>
      </c>
      <c r="E43" s="2">
        <v>1000</v>
      </c>
      <c r="F43" s="8">
        <v>0.2</v>
      </c>
      <c r="G43" s="10"/>
      <c r="H43" s="2" t="s">
        <v>8</v>
      </c>
      <c r="I43" s="12">
        <v>8</v>
      </c>
      <c r="J43" s="13" t="s">
        <v>152</v>
      </c>
      <c r="K43" s="13" t="s">
        <v>151</v>
      </c>
      <c r="L43" s="14"/>
      <c r="M43" s="14" t="s">
        <v>163</v>
      </c>
      <c r="N43" s="14"/>
      <c r="O43" s="14" t="s">
        <v>163</v>
      </c>
      <c r="P43" s="14"/>
      <c r="Q43" s="14">
        <v>2</v>
      </c>
    </row>
    <row r="44" spans="1:18" x14ac:dyDescent="0.25">
      <c r="A44" s="1">
        <v>43</v>
      </c>
      <c r="B44" s="2" t="s">
        <v>34</v>
      </c>
      <c r="C44" s="2" t="s">
        <v>35</v>
      </c>
      <c r="D44" s="2" t="s">
        <v>187</v>
      </c>
      <c r="E44" s="2">
        <v>1400</v>
      </c>
      <c r="F44" s="6">
        <v>0.1</v>
      </c>
      <c r="G44" s="7"/>
      <c r="H44" s="2" t="s">
        <v>8</v>
      </c>
      <c r="I44" s="12">
        <v>9</v>
      </c>
      <c r="J44" s="13" t="s">
        <v>149</v>
      </c>
      <c r="K44" s="13" t="s">
        <v>150</v>
      </c>
      <c r="L44" s="14" t="s">
        <v>163</v>
      </c>
      <c r="M44" s="14" t="s">
        <v>163</v>
      </c>
      <c r="N44" s="14"/>
      <c r="O44" s="14" t="s">
        <v>164</v>
      </c>
      <c r="P44" s="14"/>
      <c r="Q44" s="14">
        <v>3</v>
      </c>
    </row>
    <row r="45" spans="1:18" x14ac:dyDescent="0.25">
      <c r="A45" s="1">
        <v>44</v>
      </c>
      <c r="B45" s="2" t="s">
        <v>36</v>
      </c>
      <c r="C45" s="2" t="s">
        <v>37</v>
      </c>
      <c r="D45" s="2" t="s">
        <v>141</v>
      </c>
      <c r="E45" s="2">
        <v>1000</v>
      </c>
      <c r="F45" s="6">
        <v>0.1</v>
      </c>
      <c r="G45" s="7"/>
      <c r="H45" s="2" t="s">
        <v>8</v>
      </c>
      <c r="I45" s="12">
        <v>10</v>
      </c>
      <c r="J45" s="13" t="s">
        <v>155</v>
      </c>
      <c r="K45" s="13" t="s">
        <v>154</v>
      </c>
      <c r="L45" s="14"/>
      <c r="M45" s="14"/>
      <c r="N45" s="14" t="s">
        <v>163</v>
      </c>
      <c r="O45" s="14" t="s">
        <v>163</v>
      </c>
      <c r="P45" s="14"/>
      <c r="Q45" s="14">
        <v>2</v>
      </c>
    </row>
    <row r="46" spans="1:18" x14ac:dyDescent="0.25">
      <c r="A46" s="1">
        <v>45</v>
      </c>
      <c r="B46" s="2">
        <v>1720</v>
      </c>
      <c r="C46" s="2" t="s">
        <v>40</v>
      </c>
      <c r="D46" s="2" t="s">
        <v>165</v>
      </c>
      <c r="E46" s="2">
        <v>1000</v>
      </c>
      <c r="F46" s="6">
        <v>0.15</v>
      </c>
      <c r="G46" s="7"/>
      <c r="H46" s="2" t="s">
        <v>8</v>
      </c>
      <c r="I46" s="12">
        <v>11</v>
      </c>
      <c r="J46" s="13" t="s">
        <v>146</v>
      </c>
      <c r="K46" s="13" t="s">
        <v>147</v>
      </c>
      <c r="L46" s="14"/>
      <c r="M46" s="14" t="s">
        <v>163</v>
      </c>
      <c r="N46" s="14" t="s">
        <v>163</v>
      </c>
      <c r="O46" s="14" t="s">
        <v>163</v>
      </c>
      <c r="P46" s="14" t="s">
        <v>163</v>
      </c>
      <c r="Q46" s="14">
        <v>4</v>
      </c>
    </row>
    <row r="47" spans="1:18" hidden="1" x14ac:dyDescent="0.25">
      <c r="A47" s="1">
        <v>46</v>
      </c>
      <c r="B47" s="2">
        <v>1720</v>
      </c>
      <c r="C47" s="2" t="s">
        <v>120</v>
      </c>
      <c r="D47" s="2" t="s">
        <v>133</v>
      </c>
      <c r="E47" s="2">
        <v>2000</v>
      </c>
      <c r="F47" s="6">
        <v>0.15</v>
      </c>
      <c r="G47" s="7"/>
      <c r="H47" s="2" t="s">
        <v>8</v>
      </c>
      <c r="I47" s="12">
        <v>12</v>
      </c>
      <c r="J47" s="13" t="s">
        <v>153</v>
      </c>
      <c r="K47" s="13" t="s">
        <v>151</v>
      </c>
      <c r="L47" s="14" t="s">
        <v>163</v>
      </c>
      <c r="M47" s="14" t="s">
        <v>164</v>
      </c>
      <c r="N47" s="14"/>
      <c r="O47" s="14"/>
      <c r="P47" s="14"/>
      <c r="Q47" s="14">
        <v>2</v>
      </c>
    </row>
    <row r="48" spans="1:18" hidden="1" x14ac:dyDescent="0.25">
      <c r="A48" s="1">
        <v>47</v>
      </c>
      <c r="B48" s="2">
        <v>1720</v>
      </c>
      <c r="C48" s="2" t="s">
        <v>118</v>
      </c>
      <c r="D48" s="2" t="s">
        <v>131</v>
      </c>
      <c r="E48" s="2">
        <v>2000</v>
      </c>
      <c r="F48" s="6">
        <v>0.15</v>
      </c>
      <c r="G48" s="7"/>
      <c r="H48" s="2" t="s">
        <v>8</v>
      </c>
      <c r="I48" s="12">
        <v>13</v>
      </c>
      <c r="J48" s="13" t="s">
        <v>102</v>
      </c>
      <c r="K48" s="13" t="s">
        <v>101</v>
      </c>
      <c r="L48" s="14" t="s">
        <v>163</v>
      </c>
      <c r="M48" s="14" t="s">
        <v>163</v>
      </c>
      <c r="N48" s="14"/>
      <c r="O48" s="14"/>
      <c r="P48" s="14"/>
      <c r="Q48" s="14">
        <v>2</v>
      </c>
    </row>
    <row r="49" spans="1:17" hidden="1" x14ac:dyDescent="0.25">
      <c r="A49" s="1">
        <v>48</v>
      </c>
      <c r="B49" s="2">
        <v>1720</v>
      </c>
      <c r="C49" s="2" t="s">
        <v>117</v>
      </c>
      <c r="D49" s="2" t="s">
        <v>156</v>
      </c>
      <c r="E49" s="2">
        <v>2000</v>
      </c>
      <c r="F49" s="6">
        <v>0.15</v>
      </c>
      <c r="G49" s="7"/>
      <c r="H49" s="2" t="s">
        <v>8</v>
      </c>
      <c r="I49" s="12">
        <v>14</v>
      </c>
      <c r="J49" s="13" t="s">
        <v>129</v>
      </c>
      <c r="K49" s="13" t="s">
        <v>130</v>
      </c>
      <c r="L49" s="14"/>
      <c r="M49" s="14"/>
      <c r="N49" s="14"/>
      <c r="O49" s="14" t="s">
        <v>164</v>
      </c>
      <c r="P49" s="14"/>
      <c r="Q49" s="14">
        <v>2</v>
      </c>
    </row>
    <row r="50" spans="1:17" x14ac:dyDescent="0.25">
      <c r="A50" s="1">
        <v>49</v>
      </c>
      <c r="B50" s="2">
        <v>1720</v>
      </c>
      <c r="C50" s="2" t="s">
        <v>29</v>
      </c>
      <c r="D50" s="2" t="s">
        <v>143</v>
      </c>
      <c r="E50" s="2">
        <v>2000</v>
      </c>
      <c r="F50" s="6">
        <v>0.15</v>
      </c>
      <c r="G50" s="7"/>
      <c r="H50" s="3" t="s">
        <v>38</v>
      </c>
      <c r="I50" s="12">
        <v>15</v>
      </c>
      <c r="J50" s="13" t="s">
        <v>156</v>
      </c>
      <c r="K50" s="13" t="s">
        <v>154</v>
      </c>
      <c r="L50" s="14" t="s">
        <v>163</v>
      </c>
      <c r="M50" s="14"/>
      <c r="N50" s="14" t="s">
        <v>163</v>
      </c>
      <c r="O50" s="14" t="s">
        <v>163</v>
      </c>
      <c r="P50" s="14"/>
      <c r="Q50" s="14">
        <v>3</v>
      </c>
    </row>
    <row r="51" spans="1:17" x14ac:dyDescent="0.25">
      <c r="A51" s="1">
        <v>50</v>
      </c>
      <c r="B51" s="2">
        <v>1720</v>
      </c>
      <c r="C51" s="2" t="s">
        <v>39</v>
      </c>
      <c r="D51" s="2" t="s">
        <v>178</v>
      </c>
      <c r="E51" s="2">
        <v>2000</v>
      </c>
      <c r="F51" s="6">
        <v>0.15</v>
      </c>
      <c r="G51" s="7"/>
      <c r="H51" s="2" t="s">
        <v>8</v>
      </c>
      <c r="I51" s="12">
        <v>16</v>
      </c>
      <c r="J51" s="13" t="s">
        <v>107</v>
      </c>
      <c r="K51" s="13" t="s">
        <v>108</v>
      </c>
      <c r="L51" s="14" t="s">
        <v>163</v>
      </c>
      <c r="M51" s="14" t="s">
        <v>163</v>
      </c>
      <c r="N51" s="14" t="s">
        <v>163</v>
      </c>
      <c r="O51" s="14"/>
      <c r="P51" s="14"/>
      <c r="Q51" s="14">
        <v>3</v>
      </c>
    </row>
    <row r="52" spans="1:17" ht="23.25" x14ac:dyDescent="0.25">
      <c r="A52" s="1">
        <v>52</v>
      </c>
      <c r="B52" s="2">
        <v>1720</v>
      </c>
      <c r="C52" s="2" t="s">
        <v>41</v>
      </c>
      <c r="D52" s="2" t="s">
        <v>149</v>
      </c>
      <c r="E52" s="2">
        <v>1000</v>
      </c>
      <c r="F52" s="6">
        <v>0.15</v>
      </c>
      <c r="G52" s="7"/>
      <c r="H52" s="3" t="s">
        <v>42</v>
      </c>
      <c r="I52" s="12">
        <v>17</v>
      </c>
      <c r="J52" s="13" t="s">
        <v>135</v>
      </c>
      <c r="K52" s="13" t="s">
        <v>136</v>
      </c>
      <c r="L52" s="14" t="s">
        <v>163</v>
      </c>
      <c r="M52" s="14"/>
      <c r="N52" s="14" t="s">
        <v>163</v>
      </c>
      <c r="O52" s="14"/>
      <c r="P52" s="14"/>
      <c r="Q52" s="14">
        <v>2</v>
      </c>
    </row>
    <row r="53" spans="1:17" hidden="1" x14ac:dyDescent="0.25">
      <c r="A53" s="1">
        <v>53</v>
      </c>
      <c r="B53" s="2">
        <v>1720</v>
      </c>
      <c r="C53" s="2" t="s">
        <v>127</v>
      </c>
      <c r="D53" s="2" t="s">
        <v>180</v>
      </c>
      <c r="E53" s="2">
        <v>1000</v>
      </c>
      <c r="F53" s="6">
        <v>0.15</v>
      </c>
      <c r="G53" s="7"/>
      <c r="H53" s="3" t="s">
        <v>43</v>
      </c>
      <c r="I53" s="12">
        <v>18</v>
      </c>
      <c r="J53" s="13" t="s">
        <v>160</v>
      </c>
      <c r="K53" s="13" t="s">
        <v>161</v>
      </c>
      <c r="L53" s="14" t="s">
        <v>163</v>
      </c>
      <c r="M53" s="14" t="s">
        <v>163</v>
      </c>
      <c r="N53" s="14"/>
      <c r="O53" s="14" t="s">
        <v>163</v>
      </c>
      <c r="P53" s="14"/>
      <c r="Q53" s="14">
        <v>3</v>
      </c>
    </row>
    <row r="54" spans="1:17" x14ac:dyDescent="0.25">
      <c r="A54" s="1">
        <v>54</v>
      </c>
      <c r="B54" s="2">
        <v>1720</v>
      </c>
      <c r="C54" s="2" t="s">
        <v>44</v>
      </c>
      <c r="D54" s="2" t="s">
        <v>152</v>
      </c>
      <c r="E54" s="2">
        <v>1000</v>
      </c>
      <c r="F54" s="6">
        <v>0.15</v>
      </c>
      <c r="G54" s="7"/>
      <c r="H54" s="3" t="s">
        <v>8</v>
      </c>
      <c r="I54" s="12">
        <v>19</v>
      </c>
      <c r="J54" s="13" t="s">
        <v>141</v>
      </c>
      <c r="K54" s="13" t="s">
        <v>142</v>
      </c>
      <c r="L54" s="14"/>
      <c r="M54" s="14" t="s">
        <v>163</v>
      </c>
      <c r="N54" s="14" t="s">
        <v>163</v>
      </c>
      <c r="O54" s="14" t="s">
        <v>163</v>
      </c>
      <c r="P54" s="14"/>
      <c r="Q54" s="14">
        <v>3</v>
      </c>
    </row>
    <row r="55" spans="1:17" x14ac:dyDescent="0.25">
      <c r="A55" s="1">
        <v>55</v>
      </c>
      <c r="B55" s="2">
        <v>1720</v>
      </c>
      <c r="C55" s="2" t="s">
        <v>45</v>
      </c>
      <c r="D55" s="2" t="s">
        <v>188</v>
      </c>
      <c r="E55" s="2">
        <v>1000</v>
      </c>
      <c r="F55" s="6">
        <v>0.15</v>
      </c>
      <c r="G55" s="7"/>
      <c r="H55" s="3" t="s">
        <v>8</v>
      </c>
      <c r="I55" s="12">
        <v>20</v>
      </c>
      <c r="J55" s="13" t="s">
        <v>157</v>
      </c>
      <c r="K55" s="13" t="s">
        <v>158</v>
      </c>
      <c r="L55" s="14"/>
      <c r="M55" s="14"/>
      <c r="N55" s="14" t="s">
        <v>163</v>
      </c>
      <c r="O55" s="14" t="s">
        <v>163</v>
      </c>
      <c r="P55" s="14"/>
      <c r="Q55" s="14">
        <v>2</v>
      </c>
    </row>
    <row r="56" spans="1:17" x14ac:dyDescent="0.25">
      <c r="A56" s="1">
        <v>56</v>
      </c>
      <c r="B56" s="2">
        <v>1720</v>
      </c>
      <c r="C56" s="2" t="s">
        <v>46</v>
      </c>
      <c r="D56" s="2" t="s">
        <v>175</v>
      </c>
      <c r="E56" s="2">
        <v>1000</v>
      </c>
      <c r="F56" s="6">
        <v>0.15</v>
      </c>
      <c r="G56" s="7"/>
      <c r="H56" s="3" t="s">
        <v>47</v>
      </c>
    </row>
    <row r="57" spans="1:17" x14ac:dyDescent="0.25">
      <c r="A57" s="1">
        <v>57</v>
      </c>
      <c r="B57" s="2">
        <v>1720</v>
      </c>
      <c r="C57" s="2" t="s">
        <v>48</v>
      </c>
      <c r="D57" s="2" t="s">
        <v>189</v>
      </c>
      <c r="E57" s="2">
        <v>1000</v>
      </c>
      <c r="F57" s="6">
        <v>0.15</v>
      </c>
      <c r="G57" s="7"/>
      <c r="H57" s="2" t="s">
        <v>8</v>
      </c>
      <c r="J57" s="16">
        <v>72</v>
      </c>
      <c r="K57" s="16" t="s">
        <v>226</v>
      </c>
      <c r="M57" s="16">
        <v>1721</v>
      </c>
      <c r="N57" s="16">
        <f>46+146+101</f>
        <v>293</v>
      </c>
      <c r="O57" s="21" t="s">
        <v>236</v>
      </c>
    </row>
    <row r="58" spans="1:17" hidden="1" x14ac:dyDescent="0.25">
      <c r="A58" s="1">
        <v>58</v>
      </c>
      <c r="B58" s="2">
        <v>1720</v>
      </c>
      <c r="C58" s="2" t="s">
        <v>119</v>
      </c>
      <c r="D58" s="2" t="s">
        <v>190</v>
      </c>
      <c r="E58" s="2">
        <v>2000</v>
      </c>
      <c r="F58" s="6">
        <v>0.15</v>
      </c>
      <c r="G58" s="7"/>
      <c r="H58" s="2" t="s">
        <v>8</v>
      </c>
      <c r="J58">
        <v>20</v>
      </c>
      <c r="K58" t="s">
        <v>227</v>
      </c>
      <c r="L58" s="17">
        <f>20/72</f>
        <v>0.27777777777777779</v>
      </c>
      <c r="M58" s="16">
        <v>1725</v>
      </c>
      <c r="N58" s="16">
        <v>26</v>
      </c>
      <c r="O58" s="21" t="s">
        <v>236</v>
      </c>
    </row>
    <row r="59" spans="1:17" x14ac:dyDescent="0.25">
      <c r="A59" s="1">
        <v>59</v>
      </c>
      <c r="B59" s="2">
        <v>1720</v>
      </c>
      <c r="C59" s="2" t="s">
        <v>49</v>
      </c>
      <c r="D59" s="2" t="s">
        <v>191</v>
      </c>
      <c r="E59" s="2">
        <v>1000</v>
      </c>
      <c r="F59" s="6">
        <v>0.15</v>
      </c>
      <c r="G59" s="7"/>
      <c r="H59" s="2" t="s">
        <v>8</v>
      </c>
    </row>
    <row r="60" spans="1:17" hidden="1" x14ac:dyDescent="0.25">
      <c r="A60" s="1">
        <v>60</v>
      </c>
      <c r="B60" s="2">
        <v>1720</v>
      </c>
      <c r="C60" s="2" t="s">
        <v>115</v>
      </c>
      <c r="D60" s="2" t="s">
        <v>192</v>
      </c>
      <c r="E60" s="2">
        <v>1000</v>
      </c>
      <c r="F60" s="6">
        <v>0.15</v>
      </c>
      <c r="G60" s="7"/>
      <c r="H60" s="2" t="s">
        <v>8</v>
      </c>
      <c r="L60" s="14" t="s">
        <v>237</v>
      </c>
      <c r="M60" s="14" t="s">
        <v>238</v>
      </c>
      <c r="N60" s="14" t="s">
        <v>239</v>
      </c>
      <c r="O60" s="14" t="s">
        <v>240</v>
      </c>
      <c r="P60" s="14" t="s">
        <v>241</v>
      </c>
    </row>
    <row r="61" spans="1:17" x14ac:dyDescent="0.25">
      <c r="A61" s="1">
        <v>61</v>
      </c>
      <c r="B61" s="2">
        <v>1720</v>
      </c>
      <c r="C61" s="2" t="s">
        <v>50</v>
      </c>
      <c r="D61" s="2" t="s">
        <v>168</v>
      </c>
      <c r="E61" s="2">
        <v>1000</v>
      </c>
      <c r="F61" s="6">
        <v>0.15</v>
      </c>
      <c r="G61" s="7"/>
      <c r="H61" s="2" t="s">
        <v>8</v>
      </c>
      <c r="L61" s="13">
        <v>1716</v>
      </c>
      <c r="M61" s="13">
        <v>26080</v>
      </c>
      <c r="N61" s="22">
        <v>20</v>
      </c>
      <c r="O61" s="23">
        <f>(M61*N61)/100</f>
        <v>5216</v>
      </c>
      <c r="P61" s="23">
        <f>M61+O61</f>
        <v>31296</v>
      </c>
    </row>
    <row r="62" spans="1:17" x14ac:dyDescent="0.25">
      <c r="A62" s="1">
        <v>62</v>
      </c>
      <c r="B62" s="2">
        <v>1720</v>
      </c>
      <c r="C62" s="2" t="s">
        <v>65</v>
      </c>
      <c r="D62" s="2" t="s">
        <v>155</v>
      </c>
      <c r="E62" s="2">
        <v>1000</v>
      </c>
      <c r="F62" s="6">
        <v>0.15</v>
      </c>
      <c r="G62" s="7"/>
      <c r="H62" s="2" t="s">
        <v>8</v>
      </c>
      <c r="L62" s="13">
        <v>1718</v>
      </c>
      <c r="M62" s="13">
        <v>31600</v>
      </c>
      <c r="N62" s="22">
        <v>10</v>
      </c>
      <c r="O62" s="23">
        <f t="shared" ref="O62:O65" si="0">(M62*N62)/100</f>
        <v>3160</v>
      </c>
      <c r="P62" s="23">
        <f t="shared" ref="P62:P65" si="1">M62+O62</f>
        <v>34760</v>
      </c>
    </row>
    <row r="63" spans="1:17" x14ac:dyDescent="0.25">
      <c r="A63" s="1">
        <v>63</v>
      </c>
      <c r="B63" s="2">
        <v>1720</v>
      </c>
      <c r="C63" s="2" t="s">
        <v>51</v>
      </c>
      <c r="D63" s="2" t="s">
        <v>193</v>
      </c>
      <c r="E63" s="2">
        <v>1100</v>
      </c>
      <c r="F63" s="6">
        <v>0.15</v>
      </c>
      <c r="G63" s="7"/>
      <c r="H63" s="2" t="s">
        <v>8</v>
      </c>
      <c r="L63" s="13">
        <v>1720</v>
      </c>
      <c r="M63" s="13">
        <v>48400</v>
      </c>
      <c r="N63" s="22">
        <v>15</v>
      </c>
      <c r="O63" s="23">
        <f t="shared" si="0"/>
        <v>7260</v>
      </c>
      <c r="P63" s="23">
        <f t="shared" si="1"/>
        <v>55660</v>
      </c>
    </row>
    <row r="64" spans="1:17" x14ac:dyDescent="0.25">
      <c r="A64" s="1">
        <v>64</v>
      </c>
      <c r="B64" s="2">
        <v>1720</v>
      </c>
      <c r="C64" s="2" t="s">
        <v>140</v>
      </c>
      <c r="D64" s="2" t="s">
        <v>141</v>
      </c>
      <c r="E64" s="2">
        <v>1000</v>
      </c>
      <c r="F64" s="6">
        <v>0.15</v>
      </c>
      <c r="G64" s="7"/>
      <c r="H64" s="2" t="s">
        <v>8</v>
      </c>
      <c r="L64" s="13">
        <v>1726</v>
      </c>
      <c r="M64" s="13">
        <v>85900</v>
      </c>
      <c r="N64" s="22">
        <v>15</v>
      </c>
      <c r="O64" s="23">
        <f t="shared" si="0"/>
        <v>12885</v>
      </c>
      <c r="P64" s="23">
        <f t="shared" si="1"/>
        <v>98785</v>
      </c>
    </row>
    <row r="65" spans="1:16" x14ac:dyDescent="0.25">
      <c r="A65" s="1">
        <v>65</v>
      </c>
      <c r="B65" s="2">
        <v>1720</v>
      </c>
      <c r="C65" s="2" t="s">
        <v>38</v>
      </c>
      <c r="D65" s="2" t="s">
        <v>146</v>
      </c>
      <c r="E65" s="2">
        <v>3000</v>
      </c>
      <c r="F65" s="6">
        <v>0.15</v>
      </c>
      <c r="G65" s="7"/>
      <c r="H65" s="2" t="s">
        <v>8</v>
      </c>
      <c r="L65" s="13">
        <v>1727</v>
      </c>
      <c r="M65" s="13">
        <v>2600</v>
      </c>
      <c r="N65" s="22">
        <v>10</v>
      </c>
      <c r="O65" s="23">
        <f t="shared" si="0"/>
        <v>260</v>
      </c>
      <c r="P65" s="23">
        <f t="shared" si="1"/>
        <v>2860</v>
      </c>
    </row>
    <row r="66" spans="1:16" x14ac:dyDescent="0.25">
      <c r="A66" s="1">
        <v>66</v>
      </c>
      <c r="B66" s="2">
        <v>1720</v>
      </c>
      <c r="C66" s="2" t="s">
        <v>103</v>
      </c>
      <c r="D66" s="2" t="s">
        <v>194</v>
      </c>
      <c r="E66" s="2">
        <v>2000</v>
      </c>
      <c r="F66" s="6">
        <v>0.15</v>
      </c>
      <c r="G66" s="7"/>
      <c r="H66" s="2" t="s">
        <v>8</v>
      </c>
    </row>
    <row r="67" spans="1:16" hidden="1" x14ac:dyDescent="0.25">
      <c r="A67" s="1">
        <v>67</v>
      </c>
      <c r="B67" s="2">
        <v>1720</v>
      </c>
      <c r="C67" s="2" t="s">
        <v>112</v>
      </c>
      <c r="D67" s="2" t="s">
        <v>195</v>
      </c>
      <c r="E67" s="2">
        <v>1000</v>
      </c>
      <c r="F67" s="6">
        <v>0.15</v>
      </c>
      <c r="G67" s="7"/>
      <c r="H67" s="2" t="s">
        <v>8</v>
      </c>
    </row>
    <row r="68" spans="1:16" x14ac:dyDescent="0.25">
      <c r="A68" s="1">
        <v>68</v>
      </c>
      <c r="B68" s="2">
        <v>1720</v>
      </c>
      <c r="C68" s="2" t="s">
        <v>52</v>
      </c>
      <c r="D68" s="2" t="s">
        <v>196</v>
      </c>
      <c r="E68" s="2">
        <v>1000</v>
      </c>
      <c r="F68" s="6">
        <v>0.15</v>
      </c>
      <c r="G68" s="7"/>
      <c r="H68" s="3" t="s">
        <v>53</v>
      </c>
    </row>
    <row r="69" spans="1:16" x14ac:dyDescent="0.25">
      <c r="A69" s="1">
        <v>69</v>
      </c>
      <c r="B69" s="2">
        <v>1720</v>
      </c>
      <c r="C69" s="2" t="s">
        <v>54</v>
      </c>
      <c r="D69" s="2" t="s">
        <v>138</v>
      </c>
      <c r="E69" s="2">
        <v>1000</v>
      </c>
      <c r="F69" s="6">
        <v>0.15</v>
      </c>
      <c r="G69" s="7"/>
      <c r="H69" s="2" t="s">
        <v>8</v>
      </c>
    </row>
    <row r="70" spans="1:16" x14ac:dyDescent="0.25">
      <c r="A70" s="1">
        <v>70</v>
      </c>
      <c r="B70" s="2">
        <v>1720</v>
      </c>
      <c r="C70" s="2" t="s">
        <v>110</v>
      </c>
      <c r="D70" s="2" t="s">
        <v>197</v>
      </c>
      <c r="E70" s="2">
        <v>1000</v>
      </c>
      <c r="F70" s="8">
        <v>0.1</v>
      </c>
      <c r="G70" s="10"/>
      <c r="H70" s="2" t="s">
        <v>8</v>
      </c>
    </row>
    <row r="71" spans="1:16" x14ac:dyDescent="0.25">
      <c r="A71" s="1">
        <v>71</v>
      </c>
      <c r="B71" s="2">
        <v>1720</v>
      </c>
      <c r="C71" s="2" t="s">
        <v>55</v>
      </c>
      <c r="D71" s="2" t="s">
        <v>198</v>
      </c>
      <c r="E71" s="2">
        <v>500</v>
      </c>
      <c r="F71" s="8">
        <v>0.1</v>
      </c>
      <c r="G71" s="10"/>
      <c r="H71" s="2" t="s">
        <v>8</v>
      </c>
    </row>
    <row r="72" spans="1:16" x14ac:dyDescent="0.25">
      <c r="A72" s="1">
        <v>72</v>
      </c>
      <c r="B72" s="2" t="s">
        <v>56</v>
      </c>
      <c r="C72" s="2" t="s">
        <v>199</v>
      </c>
      <c r="D72" s="2" t="s">
        <v>102</v>
      </c>
      <c r="E72" s="2">
        <v>1000</v>
      </c>
      <c r="F72" s="6">
        <v>0.15</v>
      </c>
      <c r="G72" s="7"/>
      <c r="H72" s="2" t="s">
        <v>8</v>
      </c>
    </row>
    <row r="73" spans="1:16" x14ac:dyDescent="0.25">
      <c r="A73" s="1">
        <v>73</v>
      </c>
      <c r="B73" s="2" t="s">
        <v>56</v>
      </c>
      <c r="C73" s="2" t="s">
        <v>6</v>
      </c>
      <c r="D73" s="2" t="s">
        <v>105</v>
      </c>
      <c r="E73" s="2">
        <v>4000</v>
      </c>
      <c r="F73" s="6">
        <v>0.15</v>
      </c>
      <c r="G73" s="7"/>
      <c r="H73" s="2" t="s">
        <v>8</v>
      </c>
    </row>
    <row r="74" spans="1:16" ht="26.25" x14ac:dyDescent="0.25">
      <c r="A74" s="1">
        <v>74</v>
      </c>
      <c r="B74" s="2" t="s">
        <v>56</v>
      </c>
      <c r="C74" s="2" t="s">
        <v>125</v>
      </c>
      <c r="D74" s="2" t="s">
        <v>139</v>
      </c>
      <c r="E74" s="2">
        <v>2000</v>
      </c>
      <c r="F74" s="8">
        <v>0.1</v>
      </c>
      <c r="G74" s="10"/>
      <c r="H74" s="2" t="s">
        <v>8</v>
      </c>
    </row>
    <row r="75" spans="1:16" x14ac:dyDescent="0.25">
      <c r="A75" s="1">
        <v>75</v>
      </c>
      <c r="B75" s="2" t="s">
        <v>56</v>
      </c>
      <c r="C75" s="2" t="s">
        <v>122</v>
      </c>
      <c r="D75" s="2" t="s">
        <v>205</v>
      </c>
      <c r="E75" s="2">
        <v>800</v>
      </c>
      <c r="F75" s="8">
        <v>0.1</v>
      </c>
      <c r="G75" s="10"/>
      <c r="H75" s="2" t="s">
        <v>8</v>
      </c>
    </row>
    <row r="76" spans="1:16" x14ac:dyDescent="0.25">
      <c r="A76" s="1">
        <v>76</v>
      </c>
      <c r="B76" s="2" t="s">
        <v>56</v>
      </c>
      <c r="C76" s="2" t="s">
        <v>57</v>
      </c>
      <c r="D76" s="2" t="s">
        <v>200</v>
      </c>
      <c r="E76" s="2">
        <v>1000</v>
      </c>
      <c r="F76" s="6">
        <v>0.15</v>
      </c>
      <c r="G76" s="7"/>
      <c r="H76" s="2" t="s">
        <v>8</v>
      </c>
    </row>
    <row r="77" spans="1:16" x14ac:dyDescent="0.25">
      <c r="A77" s="1">
        <v>77</v>
      </c>
      <c r="B77" s="2" t="s">
        <v>56</v>
      </c>
      <c r="C77" s="2" t="s">
        <v>58</v>
      </c>
      <c r="D77" s="2" t="s">
        <v>156</v>
      </c>
      <c r="E77" s="2">
        <v>2000</v>
      </c>
      <c r="F77" s="6">
        <v>0.15</v>
      </c>
      <c r="G77" s="7"/>
      <c r="H77" s="2" t="s">
        <v>8</v>
      </c>
    </row>
    <row r="78" spans="1:16" x14ac:dyDescent="0.25">
      <c r="A78" s="1">
        <v>78</v>
      </c>
      <c r="B78" s="2" t="s">
        <v>56</v>
      </c>
      <c r="C78" s="2" t="s">
        <v>59</v>
      </c>
      <c r="D78" s="2" t="s">
        <v>201</v>
      </c>
      <c r="E78" s="2">
        <v>2000</v>
      </c>
      <c r="F78" s="6">
        <v>0.15</v>
      </c>
      <c r="G78" s="7"/>
      <c r="H78" s="2" t="s">
        <v>8</v>
      </c>
    </row>
    <row r="79" spans="1:16" x14ac:dyDescent="0.25">
      <c r="A79" s="1">
        <v>79</v>
      </c>
      <c r="B79" s="2">
        <v>1726</v>
      </c>
      <c r="C79" s="2" t="s">
        <v>6</v>
      </c>
      <c r="D79" s="2" t="s">
        <v>105</v>
      </c>
      <c r="E79" s="2">
        <v>3000</v>
      </c>
      <c r="F79" s="6">
        <v>0.15</v>
      </c>
      <c r="G79" s="7" t="s">
        <v>229</v>
      </c>
      <c r="H79" s="2" t="s">
        <v>8</v>
      </c>
    </row>
    <row r="80" spans="1:16" x14ac:dyDescent="0.25">
      <c r="A80" s="1">
        <v>80</v>
      </c>
      <c r="B80" s="2">
        <v>1726</v>
      </c>
      <c r="C80" s="2" t="s">
        <v>88</v>
      </c>
      <c r="D80" s="2" t="s">
        <v>146</v>
      </c>
      <c r="E80" s="2">
        <v>1500</v>
      </c>
      <c r="F80" s="6">
        <v>0.15</v>
      </c>
      <c r="G80" s="7"/>
      <c r="H80" s="2" t="s">
        <v>8</v>
      </c>
    </row>
    <row r="81" spans="1:14" x14ac:dyDescent="0.25">
      <c r="A81" s="1">
        <v>81</v>
      </c>
      <c r="B81" s="2">
        <v>1726</v>
      </c>
      <c r="C81" s="2" t="s">
        <v>60</v>
      </c>
      <c r="D81" s="2" t="s">
        <v>146</v>
      </c>
      <c r="E81" s="2">
        <v>1500</v>
      </c>
      <c r="F81" s="6">
        <v>0.15</v>
      </c>
      <c r="G81" s="7"/>
      <c r="H81" s="2" t="s">
        <v>8</v>
      </c>
    </row>
    <row r="82" spans="1:14" x14ac:dyDescent="0.25">
      <c r="A82" s="1">
        <v>82</v>
      </c>
      <c r="B82" s="2">
        <v>1726</v>
      </c>
      <c r="C82" s="2" t="s">
        <v>28</v>
      </c>
      <c r="D82" s="2" t="s">
        <v>152</v>
      </c>
      <c r="E82" s="2">
        <v>3000</v>
      </c>
      <c r="F82" s="6">
        <v>0.15</v>
      </c>
      <c r="G82" s="7"/>
      <c r="H82" s="2" t="s">
        <v>8</v>
      </c>
    </row>
    <row r="83" spans="1:14" x14ac:dyDescent="0.25">
      <c r="A83" s="1">
        <v>83</v>
      </c>
      <c r="B83" s="2">
        <v>1726</v>
      </c>
      <c r="C83" s="2" t="s">
        <v>202</v>
      </c>
      <c r="D83" s="2" t="s">
        <v>201</v>
      </c>
      <c r="E83" s="2">
        <v>3000</v>
      </c>
      <c r="F83" s="6">
        <v>0.15</v>
      </c>
      <c r="G83" s="7"/>
      <c r="H83" s="2" t="s">
        <v>8</v>
      </c>
    </row>
    <row r="84" spans="1:14" x14ac:dyDescent="0.25">
      <c r="A84" s="1">
        <v>84</v>
      </c>
      <c r="B84" s="2">
        <v>1726</v>
      </c>
      <c r="C84" s="2" t="s">
        <v>61</v>
      </c>
      <c r="D84" s="2" t="s">
        <v>203</v>
      </c>
      <c r="E84" s="2">
        <v>3000</v>
      </c>
      <c r="F84" s="6">
        <v>0.15</v>
      </c>
      <c r="G84" s="7"/>
      <c r="H84" s="2" t="s">
        <v>8</v>
      </c>
    </row>
    <row r="85" spans="1:14" x14ac:dyDescent="0.25">
      <c r="A85" s="1">
        <v>85</v>
      </c>
      <c r="B85" s="2">
        <v>1726</v>
      </c>
      <c r="C85" s="2" t="s">
        <v>29</v>
      </c>
      <c r="D85" s="2" t="s">
        <v>143</v>
      </c>
      <c r="E85" s="2">
        <v>3000</v>
      </c>
      <c r="F85" s="6">
        <v>0.15</v>
      </c>
      <c r="G85" s="7"/>
      <c r="H85" s="2" t="s">
        <v>8</v>
      </c>
    </row>
    <row r="86" spans="1:14" x14ac:dyDescent="0.25">
      <c r="A86" s="1">
        <v>86</v>
      </c>
      <c r="B86" s="2">
        <v>1726</v>
      </c>
      <c r="C86" s="2" t="s">
        <v>58</v>
      </c>
      <c r="D86" s="2" t="s">
        <v>156</v>
      </c>
      <c r="E86" s="2">
        <v>3000</v>
      </c>
      <c r="F86" s="6">
        <v>0.15</v>
      </c>
      <c r="G86" s="7"/>
      <c r="H86" s="2" t="s">
        <v>8</v>
      </c>
    </row>
    <row r="87" spans="1:14" x14ac:dyDescent="0.25">
      <c r="A87" s="1">
        <v>87</v>
      </c>
      <c r="B87" s="2">
        <v>1726</v>
      </c>
      <c r="C87" s="2" t="s">
        <v>62</v>
      </c>
      <c r="D87" s="2" t="s">
        <v>204</v>
      </c>
      <c r="E87" s="2">
        <v>3000</v>
      </c>
      <c r="F87" s="6">
        <v>0.15</v>
      </c>
      <c r="G87" s="7"/>
      <c r="H87" s="2" t="s">
        <v>8</v>
      </c>
    </row>
    <row r="88" spans="1:14" x14ac:dyDescent="0.25">
      <c r="A88" s="1">
        <v>88</v>
      </c>
      <c r="B88" s="2">
        <v>1726</v>
      </c>
      <c r="C88" s="2" t="s">
        <v>63</v>
      </c>
      <c r="D88" s="2" t="s">
        <v>178</v>
      </c>
      <c r="E88" s="2">
        <v>1800</v>
      </c>
      <c r="F88" s="6">
        <v>0.15</v>
      </c>
      <c r="G88" s="7"/>
      <c r="H88" s="2" t="s">
        <v>8</v>
      </c>
    </row>
    <row r="89" spans="1:14" x14ac:dyDescent="0.25">
      <c r="A89" s="1">
        <v>89</v>
      </c>
      <c r="B89" s="2">
        <v>1726</v>
      </c>
      <c r="C89" s="2" t="s">
        <v>109</v>
      </c>
      <c r="D89" s="2" t="s">
        <v>206</v>
      </c>
      <c r="E89" s="2">
        <v>3000</v>
      </c>
      <c r="F89" s="6">
        <v>0.15</v>
      </c>
      <c r="G89" s="7"/>
      <c r="H89" s="2" t="s">
        <v>8</v>
      </c>
    </row>
    <row r="90" spans="1:14" hidden="1" x14ac:dyDescent="0.25">
      <c r="A90" s="1">
        <v>90</v>
      </c>
      <c r="B90" s="2">
        <v>1726</v>
      </c>
      <c r="C90" s="2" t="s">
        <v>118</v>
      </c>
      <c r="D90" s="2" t="s">
        <v>131</v>
      </c>
      <c r="E90" s="2">
        <v>3000</v>
      </c>
      <c r="F90" s="6">
        <v>0.15</v>
      </c>
      <c r="G90" s="7" t="s">
        <v>231</v>
      </c>
      <c r="H90" s="2" t="s">
        <v>8</v>
      </c>
      <c r="L90" s="24">
        <v>32540</v>
      </c>
      <c r="M90" s="24">
        <f>L90+L91</f>
        <v>41010</v>
      </c>
      <c r="N90" s="25">
        <f>M90/L92</f>
        <v>0.47741559953434226</v>
      </c>
    </row>
    <row r="91" spans="1:14" x14ac:dyDescent="0.25">
      <c r="A91" s="1">
        <v>91</v>
      </c>
      <c r="B91" s="2">
        <v>1726</v>
      </c>
      <c r="C91" s="2" t="s">
        <v>122</v>
      </c>
      <c r="D91" s="2" t="s">
        <v>205</v>
      </c>
      <c r="E91" s="2">
        <v>1000</v>
      </c>
      <c r="F91" s="6">
        <v>0.15</v>
      </c>
      <c r="G91" s="7"/>
      <c r="H91" s="2" t="s">
        <v>8</v>
      </c>
      <c r="L91" s="24">
        <v>8470</v>
      </c>
    </row>
    <row r="92" spans="1:14" x14ac:dyDescent="0.25">
      <c r="A92" s="1">
        <v>92</v>
      </c>
      <c r="B92" s="2">
        <v>1726</v>
      </c>
      <c r="C92" s="2" t="s">
        <v>17</v>
      </c>
      <c r="D92" s="2" t="s">
        <v>149</v>
      </c>
      <c r="E92" s="2">
        <v>1000</v>
      </c>
      <c r="F92" s="6">
        <v>0.15</v>
      </c>
      <c r="G92" s="7"/>
      <c r="H92" s="2" t="s">
        <v>8</v>
      </c>
      <c r="L92" s="24">
        <v>85900</v>
      </c>
    </row>
    <row r="93" spans="1:14" x14ac:dyDescent="0.25">
      <c r="A93" s="1">
        <v>93</v>
      </c>
      <c r="B93" s="2">
        <v>1726</v>
      </c>
      <c r="C93" s="2" t="s">
        <v>64</v>
      </c>
      <c r="D93" s="2" t="s">
        <v>207</v>
      </c>
      <c r="E93" s="2">
        <v>1000</v>
      </c>
      <c r="F93" s="6">
        <v>0.15</v>
      </c>
      <c r="G93" s="7"/>
      <c r="H93" s="2" t="s">
        <v>8</v>
      </c>
    </row>
    <row r="94" spans="1:14" x14ac:dyDescent="0.25">
      <c r="A94" s="1">
        <v>94</v>
      </c>
      <c r="B94" s="2">
        <v>1726</v>
      </c>
      <c r="C94" s="2" t="s">
        <v>65</v>
      </c>
      <c r="D94" s="2" t="s">
        <v>155</v>
      </c>
      <c r="E94" s="2">
        <v>3000</v>
      </c>
      <c r="F94" s="6">
        <v>0.15</v>
      </c>
      <c r="G94" s="7"/>
      <c r="H94" s="2" t="s">
        <v>8</v>
      </c>
    </row>
    <row r="95" spans="1:14" hidden="1" x14ac:dyDescent="0.25">
      <c r="A95" s="1">
        <v>95</v>
      </c>
      <c r="B95" s="2">
        <v>1726</v>
      </c>
      <c r="C95" s="2" t="s">
        <v>116</v>
      </c>
      <c r="D95" s="2" t="s">
        <v>129</v>
      </c>
      <c r="E95" s="2">
        <v>1500</v>
      </c>
      <c r="F95" s="6">
        <v>0.15</v>
      </c>
      <c r="G95" s="7"/>
      <c r="H95" s="2" t="s">
        <v>8</v>
      </c>
    </row>
    <row r="96" spans="1:14" x14ac:dyDescent="0.25">
      <c r="A96" s="1">
        <v>96</v>
      </c>
      <c r="B96" s="2">
        <v>1726</v>
      </c>
      <c r="C96" s="2" t="s">
        <v>66</v>
      </c>
      <c r="D96" s="2" t="s">
        <v>208</v>
      </c>
      <c r="E96" s="2">
        <v>1100</v>
      </c>
      <c r="F96" s="6">
        <v>0.15</v>
      </c>
      <c r="G96" s="7"/>
      <c r="H96" s="2" t="s">
        <v>8</v>
      </c>
    </row>
    <row r="97" spans="1:8" x14ac:dyDescent="0.25">
      <c r="A97" s="1">
        <v>97</v>
      </c>
      <c r="B97" s="2">
        <v>1726</v>
      </c>
      <c r="C97" s="2" t="s">
        <v>67</v>
      </c>
      <c r="D97" s="2" t="s">
        <v>209</v>
      </c>
      <c r="E97" s="2">
        <v>1100</v>
      </c>
      <c r="F97" s="6">
        <v>0.15</v>
      </c>
      <c r="G97" s="7"/>
      <c r="H97" s="2" t="s">
        <v>8</v>
      </c>
    </row>
    <row r="98" spans="1:8" x14ac:dyDescent="0.25">
      <c r="A98" s="1">
        <v>98</v>
      </c>
      <c r="B98" s="2">
        <v>1726</v>
      </c>
      <c r="C98" s="2" t="s">
        <v>18</v>
      </c>
      <c r="D98" s="2" t="s">
        <v>105</v>
      </c>
      <c r="E98" s="2">
        <v>1000</v>
      </c>
      <c r="F98" s="6">
        <v>0.15</v>
      </c>
      <c r="G98" s="7"/>
      <c r="H98" s="2" t="s">
        <v>8</v>
      </c>
    </row>
    <row r="99" spans="1:8" x14ac:dyDescent="0.25">
      <c r="A99" s="1">
        <v>99</v>
      </c>
      <c r="B99" s="2">
        <v>1726</v>
      </c>
      <c r="C99" s="2" t="s">
        <v>68</v>
      </c>
      <c r="D99" s="2" t="s">
        <v>210</v>
      </c>
      <c r="E99" s="2">
        <v>1000</v>
      </c>
      <c r="F99" s="6">
        <v>0.15</v>
      </c>
      <c r="G99" s="7"/>
      <c r="H99" s="2" t="s">
        <v>8</v>
      </c>
    </row>
    <row r="100" spans="1:8" x14ac:dyDescent="0.25">
      <c r="A100" s="1">
        <v>100</v>
      </c>
      <c r="B100" s="2">
        <v>1726</v>
      </c>
      <c r="C100" s="2" t="s">
        <v>69</v>
      </c>
      <c r="D100" s="2" t="s">
        <v>105</v>
      </c>
      <c r="E100" s="2">
        <v>2000</v>
      </c>
      <c r="F100" s="6">
        <v>0.15</v>
      </c>
      <c r="G100" s="7"/>
      <c r="H100" s="2" t="s">
        <v>8</v>
      </c>
    </row>
    <row r="101" spans="1:8" x14ac:dyDescent="0.25">
      <c r="A101" s="1">
        <v>101</v>
      </c>
      <c r="B101" s="2">
        <v>1726</v>
      </c>
      <c r="C101" s="2" t="s">
        <v>37</v>
      </c>
      <c r="D101" s="2" t="s">
        <v>141</v>
      </c>
      <c r="E101" s="2">
        <v>1500</v>
      </c>
      <c r="F101" s="6">
        <v>0.15</v>
      </c>
      <c r="G101" s="7"/>
      <c r="H101" s="2" t="s">
        <v>8</v>
      </c>
    </row>
    <row r="102" spans="1:8" hidden="1" x14ac:dyDescent="0.25">
      <c r="A102" s="1">
        <v>102</v>
      </c>
      <c r="B102" s="2">
        <v>1726</v>
      </c>
      <c r="C102" s="2" t="s">
        <v>116</v>
      </c>
      <c r="D102" s="2" t="s">
        <v>129</v>
      </c>
      <c r="E102" s="2">
        <v>1000</v>
      </c>
      <c r="F102" s="6">
        <v>0.15</v>
      </c>
      <c r="G102" s="7"/>
      <c r="H102" s="2" t="s">
        <v>8</v>
      </c>
    </row>
    <row r="103" spans="1:8" x14ac:dyDescent="0.25">
      <c r="A103" s="1">
        <v>103</v>
      </c>
      <c r="B103" s="2">
        <v>1726</v>
      </c>
      <c r="C103" s="2" t="s">
        <v>70</v>
      </c>
      <c r="D103" s="2" t="s">
        <v>133</v>
      </c>
      <c r="E103" s="2">
        <v>1500</v>
      </c>
      <c r="F103" s="6">
        <v>0.15</v>
      </c>
      <c r="G103" s="7"/>
      <c r="H103" s="2" t="s">
        <v>8</v>
      </c>
    </row>
    <row r="104" spans="1:8" ht="26.25" x14ac:dyDescent="0.25">
      <c r="A104" s="1">
        <v>104</v>
      </c>
      <c r="B104" s="2">
        <v>1726</v>
      </c>
      <c r="C104" s="2" t="s">
        <v>71</v>
      </c>
      <c r="D104" s="2" t="s">
        <v>146</v>
      </c>
      <c r="E104" s="2">
        <v>2000</v>
      </c>
      <c r="F104" s="6">
        <v>0.15</v>
      </c>
      <c r="G104" s="7"/>
      <c r="H104" s="2" t="s">
        <v>8</v>
      </c>
    </row>
    <row r="105" spans="1:8" ht="26.25" x14ac:dyDescent="0.25">
      <c r="A105" s="1">
        <v>105</v>
      </c>
      <c r="B105" s="2">
        <v>1726</v>
      </c>
      <c r="C105" s="2" t="s">
        <v>125</v>
      </c>
      <c r="D105" s="2" t="s">
        <v>139</v>
      </c>
      <c r="E105" s="2">
        <v>2000</v>
      </c>
      <c r="F105" s="6">
        <v>0.15</v>
      </c>
      <c r="G105" s="7"/>
      <c r="H105" s="2" t="s">
        <v>8</v>
      </c>
    </row>
    <row r="106" spans="1:8" x14ac:dyDescent="0.25">
      <c r="A106" s="1">
        <v>106</v>
      </c>
      <c r="B106" s="2">
        <v>1726</v>
      </c>
      <c r="C106" s="2" t="s">
        <v>72</v>
      </c>
      <c r="D106" s="2" t="s">
        <v>133</v>
      </c>
      <c r="E106" s="2">
        <v>3000</v>
      </c>
      <c r="F106" s="6">
        <v>0.15</v>
      </c>
      <c r="G106" s="7"/>
      <c r="H106" s="2" t="s">
        <v>8</v>
      </c>
    </row>
    <row r="107" spans="1:8" x14ac:dyDescent="0.25">
      <c r="A107" s="1">
        <v>107</v>
      </c>
      <c r="B107" s="2">
        <v>1726</v>
      </c>
      <c r="C107" s="2" t="s">
        <v>73</v>
      </c>
      <c r="D107" s="2" t="s">
        <v>105</v>
      </c>
      <c r="E107" s="2">
        <v>1000</v>
      </c>
      <c r="F107" s="6">
        <v>0.15</v>
      </c>
      <c r="G107" s="7"/>
      <c r="H107" s="2" t="s">
        <v>8</v>
      </c>
    </row>
    <row r="108" spans="1:8" x14ac:dyDescent="0.25">
      <c r="A108" s="1">
        <v>108</v>
      </c>
      <c r="B108" s="2">
        <v>1726</v>
      </c>
      <c r="C108" s="2" t="s">
        <v>74</v>
      </c>
      <c r="D108" s="2" t="s">
        <v>105</v>
      </c>
      <c r="E108" s="2">
        <v>1000</v>
      </c>
      <c r="F108" s="6">
        <v>0.15</v>
      </c>
      <c r="G108" s="7"/>
      <c r="H108" s="2" t="s">
        <v>8</v>
      </c>
    </row>
    <row r="109" spans="1:8" x14ac:dyDescent="0.25">
      <c r="A109" s="1">
        <v>109</v>
      </c>
      <c r="B109" s="2">
        <v>1726</v>
      </c>
      <c r="C109" s="2" t="s">
        <v>75</v>
      </c>
      <c r="D109" s="2" t="s">
        <v>211</v>
      </c>
      <c r="E109" s="2">
        <v>600</v>
      </c>
      <c r="F109" s="6">
        <v>0.15</v>
      </c>
      <c r="G109" s="7"/>
      <c r="H109" s="2" t="s">
        <v>8</v>
      </c>
    </row>
    <row r="110" spans="1:8" x14ac:dyDescent="0.25">
      <c r="A110" s="1">
        <v>110</v>
      </c>
      <c r="B110" s="2">
        <v>1726</v>
      </c>
      <c r="C110" s="2" t="s">
        <v>104</v>
      </c>
      <c r="D110" s="2" t="s">
        <v>173</v>
      </c>
      <c r="E110" s="2">
        <v>300</v>
      </c>
      <c r="F110" s="6">
        <v>0.15</v>
      </c>
      <c r="G110" s="7"/>
      <c r="H110" s="2" t="s">
        <v>8</v>
      </c>
    </row>
    <row r="111" spans="1:8" ht="26.25" x14ac:dyDescent="0.25">
      <c r="A111" s="1">
        <v>111</v>
      </c>
      <c r="B111" s="2">
        <v>1726</v>
      </c>
      <c r="C111" s="2" t="s">
        <v>128</v>
      </c>
      <c r="D111" s="2" t="s">
        <v>200</v>
      </c>
      <c r="E111" s="2">
        <v>1500</v>
      </c>
      <c r="F111" s="6">
        <v>0.15</v>
      </c>
      <c r="G111" s="7"/>
      <c r="H111" s="2" t="s">
        <v>8</v>
      </c>
    </row>
    <row r="112" spans="1:8" x14ac:dyDescent="0.25">
      <c r="A112" s="1">
        <v>112</v>
      </c>
      <c r="B112" s="2">
        <v>1726</v>
      </c>
      <c r="C112" s="2" t="s">
        <v>76</v>
      </c>
      <c r="D112" s="2" t="s">
        <v>212</v>
      </c>
      <c r="E112" s="2">
        <v>1500</v>
      </c>
      <c r="F112" s="6">
        <v>0.15</v>
      </c>
      <c r="G112" s="7"/>
      <c r="H112" s="2" t="s">
        <v>8</v>
      </c>
    </row>
    <row r="113" spans="1:8" x14ac:dyDescent="0.25">
      <c r="A113" s="1">
        <v>113</v>
      </c>
      <c r="B113" s="2">
        <v>1726</v>
      </c>
      <c r="C113" s="2" t="s">
        <v>98</v>
      </c>
      <c r="D113" s="2" t="s">
        <v>213</v>
      </c>
      <c r="E113" s="2">
        <v>1000</v>
      </c>
      <c r="F113" s="6">
        <v>0.15</v>
      </c>
      <c r="G113" s="7"/>
      <c r="H113" s="2" t="s">
        <v>8</v>
      </c>
    </row>
    <row r="114" spans="1:8" x14ac:dyDescent="0.25">
      <c r="A114" s="1">
        <v>114</v>
      </c>
      <c r="B114" s="2">
        <v>1726</v>
      </c>
      <c r="C114" s="2" t="s">
        <v>121</v>
      </c>
      <c r="D114" s="2" t="s">
        <v>138</v>
      </c>
      <c r="E114" s="2">
        <v>1000</v>
      </c>
      <c r="F114" s="6">
        <v>0.15</v>
      </c>
      <c r="G114" s="7"/>
      <c r="H114" s="2" t="s">
        <v>8</v>
      </c>
    </row>
    <row r="115" spans="1:8" ht="26.25" x14ac:dyDescent="0.25">
      <c r="A115" s="1">
        <v>115</v>
      </c>
      <c r="B115" s="2">
        <v>1726</v>
      </c>
      <c r="C115" s="2" t="s">
        <v>77</v>
      </c>
      <c r="D115" s="2" t="s">
        <v>105</v>
      </c>
      <c r="E115" s="2">
        <v>1000</v>
      </c>
      <c r="F115" s="6">
        <v>0.15</v>
      </c>
      <c r="G115" s="7"/>
      <c r="H115" s="3" t="s">
        <v>6</v>
      </c>
    </row>
    <row r="116" spans="1:8" x14ac:dyDescent="0.25">
      <c r="A116" s="1">
        <v>116</v>
      </c>
      <c r="B116" s="2">
        <v>1726</v>
      </c>
      <c r="C116" s="2" t="s">
        <v>97</v>
      </c>
      <c r="D116" s="2" t="s">
        <v>214</v>
      </c>
      <c r="E116" s="2">
        <v>1000</v>
      </c>
      <c r="F116" s="6">
        <v>0.15</v>
      </c>
      <c r="G116" s="7"/>
      <c r="H116" s="3" t="s">
        <v>78</v>
      </c>
    </row>
    <row r="117" spans="1:8" x14ac:dyDescent="0.25">
      <c r="A117" s="1">
        <v>117</v>
      </c>
      <c r="B117" s="2">
        <v>1726</v>
      </c>
      <c r="C117" s="2" t="s">
        <v>79</v>
      </c>
      <c r="D117" s="2" t="s">
        <v>215</v>
      </c>
      <c r="E117" s="2">
        <v>1000</v>
      </c>
      <c r="F117" s="6">
        <v>0.15</v>
      </c>
      <c r="G117" s="7"/>
      <c r="H117" s="3" t="s">
        <v>8</v>
      </c>
    </row>
    <row r="118" spans="1:8" ht="26.25" x14ac:dyDescent="0.25">
      <c r="A118" s="1">
        <v>118</v>
      </c>
      <c r="B118" s="2">
        <v>1726</v>
      </c>
      <c r="C118" s="2" t="s">
        <v>252</v>
      </c>
      <c r="D118" s="2" t="s">
        <v>216</v>
      </c>
      <c r="E118" s="2">
        <v>1000</v>
      </c>
      <c r="F118" s="6">
        <v>0.15</v>
      </c>
      <c r="G118" s="7" t="s">
        <v>228</v>
      </c>
      <c r="H118" s="3" t="s">
        <v>8</v>
      </c>
    </row>
    <row r="119" spans="1:8" hidden="1" x14ac:dyDescent="0.25">
      <c r="A119" s="1">
        <v>119</v>
      </c>
      <c r="B119" s="2">
        <v>1726</v>
      </c>
      <c r="C119" s="2" t="s">
        <v>113</v>
      </c>
      <c r="D119" s="2" t="s">
        <v>217</v>
      </c>
      <c r="E119" s="2">
        <v>500</v>
      </c>
      <c r="F119" s="6">
        <v>0.15</v>
      </c>
      <c r="G119" s="7"/>
      <c r="H119" s="3" t="s">
        <v>8</v>
      </c>
    </row>
    <row r="120" spans="1:8" x14ac:dyDescent="0.25">
      <c r="A120" s="1">
        <v>120</v>
      </c>
      <c r="B120" s="2">
        <v>1726</v>
      </c>
      <c r="C120" s="2" t="s">
        <v>80</v>
      </c>
      <c r="D120" s="2" t="s">
        <v>218</v>
      </c>
      <c r="E120" s="2">
        <v>1000</v>
      </c>
      <c r="F120" s="6">
        <v>0.15</v>
      </c>
      <c r="G120" s="7"/>
      <c r="H120" s="3" t="s">
        <v>8</v>
      </c>
    </row>
    <row r="121" spans="1:8" hidden="1" x14ac:dyDescent="0.25">
      <c r="A121" s="1">
        <v>121</v>
      </c>
      <c r="B121" s="2">
        <v>1726</v>
      </c>
      <c r="C121" s="2" t="s">
        <v>113</v>
      </c>
      <c r="D121" s="2" t="s">
        <v>217</v>
      </c>
      <c r="E121" s="2">
        <v>2000</v>
      </c>
      <c r="F121" s="6">
        <v>0.15</v>
      </c>
      <c r="G121" s="7"/>
      <c r="H121" s="3" t="s">
        <v>8</v>
      </c>
    </row>
    <row r="122" spans="1:8" x14ac:dyDescent="0.25">
      <c r="A122" s="1">
        <v>122</v>
      </c>
      <c r="B122" s="2">
        <v>1726</v>
      </c>
      <c r="C122" s="2" t="s">
        <v>81</v>
      </c>
      <c r="D122" s="2" t="s">
        <v>219</v>
      </c>
      <c r="E122" s="2">
        <v>2000</v>
      </c>
      <c r="F122" s="6">
        <v>0.1</v>
      </c>
      <c r="G122" s="7"/>
      <c r="H122" s="3" t="s">
        <v>8</v>
      </c>
    </row>
    <row r="123" spans="1:8" x14ac:dyDescent="0.25">
      <c r="A123" s="1">
        <v>123</v>
      </c>
      <c r="B123" s="2">
        <v>1726</v>
      </c>
      <c r="C123" s="2" t="s">
        <v>82</v>
      </c>
      <c r="D123" s="2" t="s">
        <v>105</v>
      </c>
      <c r="E123" s="2">
        <v>1000</v>
      </c>
      <c r="F123" s="6">
        <v>0.1</v>
      </c>
      <c r="G123" s="7"/>
      <c r="H123" s="3" t="s">
        <v>8</v>
      </c>
    </row>
    <row r="124" spans="1:8" hidden="1" x14ac:dyDescent="0.25">
      <c r="A124" s="1">
        <v>124</v>
      </c>
      <c r="B124" s="2">
        <v>1726</v>
      </c>
      <c r="C124" s="2" t="s">
        <v>114</v>
      </c>
      <c r="D124" s="2" t="s">
        <v>220</v>
      </c>
      <c r="E124" s="2">
        <v>1000</v>
      </c>
      <c r="F124" s="7" t="s">
        <v>25</v>
      </c>
      <c r="G124" s="7"/>
      <c r="H124" s="3" t="s">
        <v>8</v>
      </c>
    </row>
    <row r="125" spans="1:8" x14ac:dyDescent="0.25">
      <c r="A125" s="1">
        <v>125</v>
      </c>
      <c r="B125" s="2">
        <v>1726</v>
      </c>
      <c r="C125" s="2" t="s">
        <v>100</v>
      </c>
      <c r="D125" s="2" t="s">
        <v>221</v>
      </c>
      <c r="E125" s="2">
        <v>2000</v>
      </c>
      <c r="F125" s="6">
        <v>0.1</v>
      </c>
      <c r="G125" s="7"/>
      <c r="H125" s="3" t="s">
        <v>8</v>
      </c>
    </row>
    <row r="126" spans="1:8" ht="23.25" x14ac:dyDescent="0.25">
      <c r="A126" s="1">
        <v>126</v>
      </c>
      <c r="B126" s="2">
        <v>1726</v>
      </c>
      <c r="C126" s="2" t="s">
        <v>111</v>
      </c>
      <c r="D126" s="2" t="s">
        <v>222</v>
      </c>
      <c r="E126" s="2">
        <v>2000</v>
      </c>
      <c r="F126" s="6">
        <v>0.1</v>
      </c>
      <c r="G126" s="7"/>
      <c r="H126" s="3" t="s">
        <v>83</v>
      </c>
    </row>
    <row r="127" spans="1:8" x14ac:dyDescent="0.25">
      <c r="A127" s="1">
        <v>127</v>
      </c>
      <c r="B127" s="2">
        <v>1726</v>
      </c>
      <c r="C127" s="2" t="s">
        <v>84</v>
      </c>
      <c r="D127" s="2" t="s">
        <v>223</v>
      </c>
      <c r="E127" s="2">
        <v>1000</v>
      </c>
      <c r="F127" s="6">
        <v>0.1</v>
      </c>
      <c r="G127" s="7"/>
      <c r="H127" s="2" t="s">
        <v>8</v>
      </c>
    </row>
    <row r="128" spans="1:8" x14ac:dyDescent="0.25">
      <c r="A128" s="1">
        <v>128</v>
      </c>
      <c r="B128" s="2">
        <v>1726</v>
      </c>
      <c r="C128" s="2" t="s">
        <v>85</v>
      </c>
      <c r="D128" s="2" t="s">
        <v>224</v>
      </c>
      <c r="E128" s="2">
        <v>1000</v>
      </c>
      <c r="F128" s="6">
        <v>0.1</v>
      </c>
      <c r="G128" s="7"/>
      <c r="H128" s="2" t="s">
        <v>8</v>
      </c>
    </row>
    <row r="129" spans="1:8" x14ac:dyDescent="0.25">
      <c r="A129" s="1">
        <v>129</v>
      </c>
      <c r="B129" s="2">
        <v>1726</v>
      </c>
      <c r="C129" s="2" t="s">
        <v>17</v>
      </c>
      <c r="D129" s="2" t="s">
        <v>149</v>
      </c>
      <c r="E129" s="2">
        <v>1000</v>
      </c>
      <c r="F129" s="6">
        <v>0.1</v>
      </c>
      <c r="G129" s="7" t="s">
        <v>230</v>
      </c>
      <c r="H129" s="2" t="s">
        <v>8</v>
      </c>
    </row>
    <row r="130" spans="1:8" x14ac:dyDescent="0.25">
      <c r="A130" s="1">
        <v>130</v>
      </c>
      <c r="B130" s="2">
        <v>1726</v>
      </c>
      <c r="C130" s="2" t="s">
        <v>19</v>
      </c>
      <c r="D130" s="2" t="s">
        <v>153</v>
      </c>
      <c r="E130" s="2">
        <v>1500</v>
      </c>
      <c r="F130" s="6">
        <v>0.1</v>
      </c>
      <c r="G130" s="7"/>
      <c r="H130" s="2" t="s">
        <v>8</v>
      </c>
    </row>
    <row r="131" spans="1:8" x14ac:dyDescent="0.25">
      <c r="A131" s="1">
        <v>131</v>
      </c>
      <c r="B131" s="2">
        <v>1726</v>
      </c>
      <c r="C131" s="2" t="s">
        <v>99</v>
      </c>
      <c r="D131" s="2" t="s">
        <v>146</v>
      </c>
      <c r="E131" s="2">
        <v>1500</v>
      </c>
      <c r="F131" s="6">
        <v>0.1</v>
      </c>
      <c r="G131" s="7"/>
      <c r="H131" s="2" t="s">
        <v>8</v>
      </c>
    </row>
    <row r="132" spans="1:8" x14ac:dyDescent="0.25">
      <c r="A132" s="1">
        <v>132</v>
      </c>
      <c r="B132" s="2" t="s">
        <v>86</v>
      </c>
      <c r="C132" s="2" t="s">
        <v>87</v>
      </c>
      <c r="D132" s="2" t="s">
        <v>225</v>
      </c>
      <c r="E132" s="2">
        <v>600</v>
      </c>
      <c r="F132" s="6">
        <v>0.1</v>
      </c>
      <c r="G132" s="7"/>
      <c r="H132" s="2" t="s">
        <v>8</v>
      </c>
    </row>
    <row r="133" spans="1:8" x14ac:dyDescent="0.25">
      <c r="A133" s="1">
        <v>133</v>
      </c>
      <c r="B133" s="2" t="s">
        <v>86</v>
      </c>
      <c r="C133" s="2" t="s">
        <v>88</v>
      </c>
      <c r="D133" s="2" t="s">
        <v>146</v>
      </c>
      <c r="E133" s="2">
        <v>2000</v>
      </c>
      <c r="F133" s="6">
        <v>0.1</v>
      </c>
      <c r="G133" s="7"/>
      <c r="H133" s="2" t="s">
        <v>8</v>
      </c>
    </row>
    <row r="135" spans="1:8" x14ac:dyDescent="0.25">
      <c r="D135" s="16" t="s">
        <v>247</v>
      </c>
      <c r="E135" s="28">
        <f>AVERAGE(E2:E133)</f>
        <v>1474.090909090909</v>
      </c>
    </row>
    <row r="136" spans="1:8" x14ac:dyDescent="0.25">
      <c r="D136" s="16" t="s">
        <v>246</v>
      </c>
      <c r="E136" s="28">
        <f>MEDIAN(E3:E134)</f>
        <v>1000</v>
      </c>
    </row>
    <row r="137" spans="1:8" x14ac:dyDescent="0.25">
      <c r="D137" s="16" t="s">
        <v>248</v>
      </c>
      <c r="E137" s="28">
        <f>MODE(E4:E135)</f>
        <v>1000</v>
      </c>
    </row>
    <row r="138" spans="1:8" x14ac:dyDescent="0.25">
      <c r="D138" s="16" t="s">
        <v>249</v>
      </c>
      <c r="E138">
        <f>MIN(E2:E133)</f>
        <v>300</v>
      </c>
      <c r="F138" t="s">
        <v>250</v>
      </c>
    </row>
    <row r="139" spans="1:8" x14ac:dyDescent="0.25">
      <c r="E139">
        <f>MAX(E2:E133)</f>
        <v>6000</v>
      </c>
      <c r="F139" t="s">
        <v>251</v>
      </c>
    </row>
    <row r="142" spans="1:8" x14ac:dyDescent="0.25">
      <c r="D142" s="16" t="s">
        <v>253</v>
      </c>
    </row>
  </sheetData>
  <autoFilter ref="A1:H133" xr:uid="{00000000-0009-0000-0000-000000000000}">
    <filterColumn colId="2">
      <filters>
        <filter val="Child of Fr Georgi Niska"/>
        <filter val="Dakos, brother of Michos Pamperis"/>
        <filter val="Damos Koukis"/>
        <filter val="Georgios Perchatαris"/>
        <filter val="Georgis Panko"/>
        <filter val="Georgis Phakiolis"/>
        <filter val="Gianis Kirtzis"/>
        <filter val="Gianis Kolasies"/>
        <filter val="Giannos Kovnas"/>
        <filter val="Giannousios Niska"/>
        <filter val="Gianousios Niska"/>
        <filter val="Gianousis Konsta"/>
        <filter val="Giorgis Katesia"/>
        <filter val="Giorgis Pango"/>
        <filter val="Giorgis Tanas"/>
        <filter val="Giorgis Toupou"/>
        <filter val="Kirgia nephew of Kitriou Ouriaklie"/>
        <filter val="Kirgios Ropano"/>
        <filter val="Kirgios Rosiani"/>
        <filter val="Kirsis Kirtzi"/>
        <filter val="Kostis Katesias"/>
        <filter val="Kostis Krapovaris"/>
        <filter val="Kostis Papastavres"/>
        <filter val="Kostis Perchataris"/>
        <filter val="Kotzas Skourti"/>
        <filter val="Kotzos Sideris"/>
        <filter val="Kotzos Vokilis"/>
        <filter val="Michos Domo"/>
        <filter val="Michos Katesia"/>
        <filter val="Michos Kioni Agklou"/>
        <filter val="Michos Kionis"/>
        <filter val="Michos of father Andrea"/>
        <filter val="Michos of father Eureti Dimo"/>
        <filter val="Michos Popotsi"/>
        <filter val="Michos Popotzi"/>
        <filter val="Michos Popotzis"/>
        <filter val="Nastos Kavaliotou"/>
        <filter val="Nastos Kourte Vertzou"/>
        <filter val="Nastos Vertzou"/>
        <filter val="Nastos Vourgaris"/>
        <filter val="Nikarousios Tzoupratzis"/>
        <filter val="Nikolas Katesias"/>
        <filter val="Nikolas Rosiani"/>
        <filter val="Nikolas Tzaprazi"/>
        <filter val="Nikos Kardaras"/>
        <filter val="Nikos Nikolitzanis"/>
        <filter val="Nikos Tzapratzi"/>
        <filter val="Niskos Katesia"/>
        <filter val="Niskos Kirgiri"/>
        <filter val="Nitzios of father Georgi Basa"/>
        <filter val="Ntrios Ouraklie"/>
        <filter val="Ntrios Ouriaklie"/>
        <filter val="Ntrios Ourianilie"/>
        <filter val="Pettros Hotzolis"/>
        <filter val="Prentos Pripchieti"/>
        <filter val="Simos of Vrousia Chrysikou"/>
        <filter val="Sinas Giannaki"/>
        <filter val="Sinas Gkioni"/>
        <filter val="Sino Giannaki"/>
        <filter val="Sinos Kioni Agrou"/>
        <filter val="Stamos Katesias"/>
        <filter val="Starkos Katesia"/>
        <filter val="Thanasis of father Saouli"/>
        <filter val="Thanasis of Theodore Penati"/>
        <filter val="Tima Tourta"/>
        <filter val="Timos Ouriaklie"/>
        <filter val="Timos Tarmaris"/>
        <filter val="Timos Tirmarki"/>
        <filter val="Timtzos nephew of Trousani"/>
        <filter val="Timzos Mazia"/>
        <filter val="Totas Tzokas"/>
        <filter val="Tote Kota"/>
        <filter val="Toti Tsope"/>
        <filter val="Totos Kota"/>
        <filter val="Totos Pala"/>
        <filter val="Totos Pamperi"/>
        <filter val="Totos Papanastasi"/>
        <filter val="Totos Pesini"/>
        <filter val="Totos Rakazia"/>
        <filter val="Totos Tzokas"/>
        <filter val="Trio Ouriakle"/>
        <filter val="Tzimtzos Mazie"/>
        <filter val="Tzotos of Dima"/>
        <filter val="Tzotze student of Kosti Katesia"/>
        <filter val="Veligoris Samartzis"/>
        <filter val="Vretos Koata"/>
        <filter val="Vrousias Katesias"/>
        <filter val="Vrousias Moukoulis"/>
        <filter val="Vrousias Polta"/>
        <filter val="Yanko of Mitre Pethani"/>
        <filter val="Yanko of Tima Timasi &amp; his father"/>
        <filter val="Yankos Kina"/>
        <filter val="Yankos of father Nikola Kiona"/>
      </filters>
    </filterColumn>
    <sortState xmlns:xlrd2="http://schemas.microsoft.com/office/spreadsheetml/2017/richdata2" ref="A2:H133">
      <sortCondition ref="A2:A133"/>
    </sortState>
  </autoFilter>
  <sortState xmlns:xlrd2="http://schemas.microsoft.com/office/spreadsheetml/2017/richdata2" ref="A2:H133">
    <sortCondition ref="A2:A133"/>
  </sortState>
  <pageMargins left="0.7" right="0.7" top="0.75" bottom="0.75" header="0.3" footer="0.3"/>
  <pageSetup scale="65" orientation="portrait" horizontalDpi="4294967292" r:id="rId1"/>
  <rowBreaks count="1" manualBreakCount="1">
    <brk id="61" max="19" man="1"/>
  </rowBreaks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A27" sqref="A27"/>
    </sheetView>
  </sheetViews>
  <sheetFormatPr defaultRowHeight="15" x14ac:dyDescent="0.25"/>
  <cols>
    <col min="1" max="1" width="12.7109375" customWidth="1"/>
    <col min="2" max="2" width="13.140625" customWidth="1"/>
    <col min="3" max="3" width="13" customWidth="1"/>
  </cols>
  <sheetData>
    <row r="1" spans="1:3" ht="30" x14ac:dyDescent="0.25">
      <c r="A1" s="26" t="s">
        <v>244</v>
      </c>
      <c r="B1" s="26" t="s">
        <v>242</v>
      </c>
      <c r="C1" s="26" t="s">
        <v>243</v>
      </c>
    </row>
    <row r="2" spans="1:3" x14ac:dyDescent="0.25">
      <c r="A2" s="13">
        <v>300</v>
      </c>
      <c r="B2" s="19">
        <v>3</v>
      </c>
      <c r="C2" s="27">
        <f>B2/132</f>
        <v>2.2727272727272728E-2</v>
      </c>
    </row>
    <row r="3" spans="1:3" x14ac:dyDescent="0.25">
      <c r="A3" s="13">
        <v>500</v>
      </c>
      <c r="B3" s="19">
        <v>2</v>
      </c>
      <c r="C3" s="27">
        <f t="shared" ref="C3:C19" si="0">B3/132</f>
        <v>1.5151515151515152E-2</v>
      </c>
    </row>
    <row r="4" spans="1:3" x14ac:dyDescent="0.25">
      <c r="A4" s="13">
        <v>600</v>
      </c>
      <c r="B4" s="19">
        <v>2</v>
      </c>
      <c r="C4" s="27">
        <f t="shared" si="0"/>
        <v>1.5151515151515152E-2</v>
      </c>
    </row>
    <row r="5" spans="1:3" x14ac:dyDescent="0.25">
      <c r="A5" s="13">
        <v>800</v>
      </c>
      <c r="B5" s="19">
        <v>2</v>
      </c>
      <c r="C5" s="27">
        <f t="shared" si="0"/>
        <v>1.5151515151515152E-2</v>
      </c>
    </row>
    <row r="6" spans="1:3" x14ac:dyDescent="0.25">
      <c r="A6" s="13">
        <v>960</v>
      </c>
      <c r="B6" s="19">
        <v>2</v>
      </c>
      <c r="C6" s="27">
        <f t="shared" si="0"/>
        <v>1.5151515151515152E-2</v>
      </c>
    </row>
    <row r="7" spans="1:3" x14ac:dyDescent="0.25">
      <c r="A7" s="13">
        <v>1000</v>
      </c>
      <c r="B7" s="19">
        <v>62</v>
      </c>
      <c r="C7" s="27">
        <f t="shared" si="0"/>
        <v>0.46969696969696972</v>
      </c>
    </row>
    <row r="8" spans="1:3" x14ac:dyDescent="0.25">
      <c r="A8" s="13">
        <v>1100</v>
      </c>
      <c r="B8" s="19">
        <v>3</v>
      </c>
      <c r="C8" s="27">
        <f t="shared" si="0"/>
        <v>2.2727272727272728E-2</v>
      </c>
    </row>
    <row r="9" spans="1:3" x14ac:dyDescent="0.25">
      <c r="A9" s="13">
        <v>1200</v>
      </c>
      <c r="B9" s="19">
        <v>1</v>
      </c>
      <c r="C9" s="27">
        <f t="shared" si="0"/>
        <v>7.575757575757576E-3</v>
      </c>
    </row>
    <row r="10" spans="1:3" x14ac:dyDescent="0.25">
      <c r="A10" s="13">
        <v>1260</v>
      </c>
      <c r="B10" s="19">
        <v>1</v>
      </c>
      <c r="C10" s="27">
        <f t="shared" si="0"/>
        <v>7.575757575757576E-3</v>
      </c>
    </row>
    <row r="11" spans="1:3" x14ac:dyDescent="0.25">
      <c r="A11" s="13">
        <v>1400</v>
      </c>
      <c r="B11" s="19">
        <v>1</v>
      </c>
      <c r="C11" s="27">
        <f t="shared" si="0"/>
        <v>7.575757575757576E-3</v>
      </c>
    </row>
    <row r="12" spans="1:3" x14ac:dyDescent="0.25">
      <c r="A12" s="13">
        <v>1500</v>
      </c>
      <c r="B12" s="19">
        <v>9</v>
      </c>
      <c r="C12" s="27">
        <f t="shared" si="0"/>
        <v>6.8181818181818177E-2</v>
      </c>
    </row>
    <row r="13" spans="1:3" x14ac:dyDescent="0.25">
      <c r="A13" s="13">
        <v>1600</v>
      </c>
      <c r="B13" s="19">
        <v>1</v>
      </c>
      <c r="C13" s="27">
        <f t="shared" si="0"/>
        <v>7.575757575757576E-3</v>
      </c>
    </row>
    <row r="14" spans="1:3" x14ac:dyDescent="0.25">
      <c r="A14" s="13">
        <v>1800</v>
      </c>
      <c r="B14" s="19">
        <v>1</v>
      </c>
      <c r="C14" s="27">
        <f t="shared" si="0"/>
        <v>7.575757575757576E-3</v>
      </c>
    </row>
    <row r="15" spans="1:3" x14ac:dyDescent="0.25">
      <c r="A15" s="13">
        <v>1900</v>
      </c>
      <c r="B15" s="19">
        <v>1</v>
      </c>
      <c r="C15" s="27">
        <f t="shared" si="0"/>
        <v>7.575757575757576E-3</v>
      </c>
    </row>
    <row r="16" spans="1:3" x14ac:dyDescent="0.25">
      <c r="A16" s="13">
        <v>2000</v>
      </c>
      <c r="B16" s="19">
        <v>27</v>
      </c>
      <c r="C16" s="27">
        <f t="shared" si="0"/>
        <v>0.20454545454545456</v>
      </c>
    </row>
    <row r="17" spans="1:3" x14ac:dyDescent="0.25">
      <c r="A17" s="13">
        <v>3000</v>
      </c>
      <c r="B17" s="19">
        <v>12</v>
      </c>
      <c r="C17" s="27">
        <f t="shared" si="0"/>
        <v>9.0909090909090912E-2</v>
      </c>
    </row>
    <row r="18" spans="1:3" x14ac:dyDescent="0.25">
      <c r="A18" s="13">
        <v>4000</v>
      </c>
      <c r="B18" s="19">
        <v>1</v>
      </c>
      <c r="C18" s="27">
        <f t="shared" si="0"/>
        <v>7.575757575757576E-3</v>
      </c>
    </row>
    <row r="19" spans="1:3" x14ac:dyDescent="0.25">
      <c r="A19" s="13">
        <v>6000</v>
      </c>
      <c r="B19" s="19">
        <v>1</v>
      </c>
      <c r="C19" s="27">
        <f t="shared" si="0"/>
        <v>7.575757575757576E-3</v>
      </c>
    </row>
    <row r="20" spans="1:3" x14ac:dyDescent="0.25">
      <c r="A20" s="28">
        <f>MEDIAN(A2:A19)</f>
        <v>1330</v>
      </c>
      <c r="B20">
        <f>SUM(B2:B19)</f>
        <v>132</v>
      </c>
    </row>
    <row r="23" spans="1:3" x14ac:dyDescent="0.25">
      <c r="A23" s="16">
        <v>1718</v>
      </c>
      <c r="B23" s="16" t="s">
        <v>245</v>
      </c>
    </row>
    <row r="24" spans="1:3" x14ac:dyDescent="0.25">
      <c r="A24" s="16">
        <v>1330</v>
      </c>
      <c r="B24" t="s">
        <v>246</v>
      </c>
    </row>
    <row r="27" spans="1:3" ht="15.75" x14ac:dyDescent="0.25">
      <c r="A27" s="29" t="e">
        <f>_xlfn.MODE.SNGL(A2:A19)</f>
        <v>#N/A</v>
      </c>
    </row>
  </sheetData>
  <pageMargins left="0.7" right="0.7" top="0.75" bottom="0.75" header="0.3" footer="0.3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0"/>
  <sheetViews>
    <sheetView topLeftCell="A49" workbookViewId="0">
      <selection activeCell="C42" sqref="C42"/>
    </sheetView>
  </sheetViews>
  <sheetFormatPr defaultRowHeight="15" x14ac:dyDescent="0.25"/>
  <cols>
    <col min="1" max="1" width="11.28515625" customWidth="1"/>
    <col min="2" max="2" width="14.42578125" bestFit="1" customWidth="1"/>
    <col min="3" max="3" width="24.5703125" customWidth="1"/>
    <col min="4" max="4" width="18.85546875" customWidth="1"/>
    <col min="5" max="5" width="10.7109375" bestFit="1" customWidth="1"/>
    <col min="6" max="6" width="17.42578125" bestFit="1" customWidth="1"/>
    <col min="7" max="7" width="11" customWidth="1"/>
    <col min="8" max="8" width="13.85546875" customWidth="1"/>
  </cols>
  <sheetData>
    <row r="1" spans="1:15" ht="25.5" x14ac:dyDescent="0.25">
      <c r="A1" s="4" t="s">
        <v>89</v>
      </c>
      <c r="B1" s="5" t="s">
        <v>0</v>
      </c>
      <c r="C1" s="5" t="s">
        <v>1</v>
      </c>
      <c r="D1" s="9" t="s">
        <v>159</v>
      </c>
      <c r="E1" s="5" t="s">
        <v>95</v>
      </c>
      <c r="F1" s="5" t="s">
        <v>2</v>
      </c>
      <c r="G1" s="9" t="s">
        <v>93</v>
      </c>
      <c r="H1" s="5" t="s">
        <v>3</v>
      </c>
    </row>
    <row r="2" spans="1:15" x14ac:dyDescent="0.25">
      <c r="A2" s="1">
        <v>21</v>
      </c>
      <c r="B2" s="2" t="s">
        <v>7</v>
      </c>
      <c r="C2" s="2" t="s">
        <v>181</v>
      </c>
      <c r="D2" s="2" t="s">
        <v>180</v>
      </c>
      <c r="E2" s="2">
        <v>1000</v>
      </c>
      <c r="F2" s="6">
        <v>0.2</v>
      </c>
      <c r="G2" s="7"/>
      <c r="H2" s="2" t="s">
        <v>8</v>
      </c>
      <c r="J2" s="16" t="s">
        <v>255</v>
      </c>
      <c r="N2">
        <v>1718</v>
      </c>
      <c r="O2" s="11">
        <f>AVERAGE(F3:F4)</f>
        <v>0.1</v>
      </c>
    </row>
    <row r="3" spans="1:15" x14ac:dyDescent="0.25">
      <c r="A3" s="1">
        <v>33</v>
      </c>
      <c r="B3" s="2" t="s">
        <v>23</v>
      </c>
      <c r="C3" s="2" t="s">
        <v>118</v>
      </c>
      <c r="D3" s="2" t="s">
        <v>131</v>
      </c>
      <c r="E3" s="2">
        <v>2000</v>
      </c>
      <c r="F3" s="6">
        <v>0.1</v>
      </c>
      <c r="G3" s="7"/>
      <c r="H3" s="2" t="s">
        <v>8</v>
      </c>
      <c r="N3">
        <v>1720</v>
      </c>
      <c r="O3" s="11">
        <f>AVERAGE(F5:F11)</f>
        <v>0.15</v>
      </c>
    </row>
    <row r="4" spans="1:15" x14ac:dyDescent="0.25">
      <c r="A4" s="1">
        <v>35</v>
      </c>
      <c r="B4" s="2" t="s">
        <v>23</v>
      </c>
      <c r="C4" s="2" t="s">
        <v>120</v>
      </c>
      <c r="D4" s="2" t="s">
        <v>133</v>
      </c>
      <c r="E4" s="2">
        <v>2000</v>
      </c>
      <c r="F4" s="6">
        <v>0.1</v>
      </c>
      <c r="G4" s="7"/>
      <c r="H4" s="2" t="s">
        <v>8</v>
      </c>
      <c r="N4">
        <v>1726</v>
      </c>
      <c r="O4" s="11">
        <f>AVERAGE(F12:F16)</f>
        <v>0.15</v>
      </c>
    </row>
    <row r="5" spans="1:15" x14ac:dyDescent="0.25">
      <c r="A5" s="1">
        <v>46</v>
      </c>
      <c r="B5" s="2">
        <v>1720</v>
      </c>
      <c r="C5" s="2" t="s">
        <v>120</v>
      </c>
      <c r="D5" s="2" t="s">
        <v>133</v>
      </c>
      <c r="E5" s="2">
        <v>2000</v>
      </c>
      <c r="F5" s="6">
        <v>0.15</v>
      </c>
      <c r="G5" s="7"/>
      <c r="H5" s="2" t="s">
        <v>8</v>
      </c>
    </row>
    <row r="6" spans="1:15" x14ac:dyDescent="0.25">
      <c r="A6" s="1">
        <v>47</v>
      </c>
      <c r="B6" s="2">
        <v>1720</v>
      </c>
      <c r="C6" s="2" t="s">
        <v>118</v>
      </c>
      <c r="D6" s="2" t="s">
        <v>131</v>
      </c>
      <c r="E6" s="2">
        <v>2000</v>
      </c>
      <c r="F6" s="6">
        <v>0.15</v>
      </c>
      <c r="G6" s="7"/>
      <c r="H6" s="2" t="s">
        <v>8</v>
      </c>
    </row>
    <row r="7" spans="1:15" x14ac:dyDescent="0.25">
      <c r="A7" s="1">
        <v>48</v>
      </c>
      <c r="B7" s="2">
        <v>1720</v>
      </c>
      <c r="C7" s="2" t="s">
        <v>117</v>
      </c>
      <c r="D7" s="2" t="s">
        <v>156</v>
      </c>
      <c r="E7" s="2">
        <v>2000</v>
      </c>
      <c r="F7" s="6">
        <v>0.15</v>
      </c>
      <c r="G7" s="7"/>
      <c r="H7" s="2" t="s">
        <v>8</v>
      </c>
    </row>
    <row r="8" spans="1:15" x14ac:dyDescent="0.25">
      <c r="A8" s="1">
        <v>53</v>
      </c>
      <c r="B8" s="2">
        <v>1720</v>
      </c>
      <c r="C8" s="2" t="s">
        <v>127</v>
      </c>
      <c r="D8" s="2" t="s">
        <v>180</v>
      </c>
      <c r="E8" s="2">
        <v>1000</v>
      </c>
      <c r="F8" s="6">
        <v>0.15</v>
      </c>
      <c r="G8" s="7"/>
      <c r="H8" s="3" t="s">
        <v>43</v>
      </c>
    </row>
    <row r="9" spans="1:15" x14ac:dyDescent="0.25">
      <c r="A9" s="1">
        <v>58</v>
      </c>
      <c r="B9" s="2">
        <v>1720</v>
      </c>
      <c r="C9" s="2" t="s">
        <v>119</v>
      </c>
      <c r="D9" s="2" t="s">
        <v>190</v>
      </c>
      <c r="E9" s="2">
        <v>2000</v>
      </c>
      <c r="F9" s="6">
        <v>0.15</v>
      </c>
      <c r="G9" s="7"/>
      <c r="H9" s="2" t="s">
        <v>8</v>
      </c>
    </row>
    <row r="10" spans="1:15" x14ac:dyDescent="0.25">
      <c r="A10" s="1">
        <v>60</v>
      </c>
      <c r="B10" s="2">
        <v>1720</v>
      </c>
      <c r="C10" s="2" t="s">
        <v>115</v>
      </c>
      <c r="D10" s="2" t="s">
        <v>192</v>
      </c>
      <c r="E10" s="2">
        <v>1000</v>
      </c>
      <c r="F10" s="6">
        <v>0.15</v>
      </c>
      <c r="G10" s="7"/>
      <c r="H10" s="2" t="s">
        <v>8</v>
      </c>
    </row>
    <row r="11" spans="1:15" x14ac:dyDescent="0.25">
      <c r="A11" s="1">
        <v>67</v>
      </c>
      <c r="B11" s="2">
        <v>1720</v>
      </c>
      <c r="C11" s="2" t="s">
        <v>112</v>
      </c>
      <c r="D11" s="2" t="s">
        <v>195</v>
      </c>
      <c r="E11" s="2">
        <v>1000</v>
      </c>
      <c r="F11" s="6">
        <v>0.15</v>
      </c>
      <c r="G11" s="7"/>
      <c r="H11" s="2" t="s">
        <v>8</v>
      </c>
    </row>
    <row r="12" spans="1:15" x14ac:dyDescent="0.25">
      <c r="A12" s="1">
        <v>90</v>
      </c>
      <c r="B12" s="2">
        <v>1726</v>
      </c>
      <c r="C12" s="2" t="s">
        <v>118</v>
      </c>
      <c r="D12" s="2" t="s">
        <v>131</v>
      </c>
      <c r="E12" s="2">
        <v>3000</v>
      </c>
      <c r="F12" s="6">
        <v>0.15</v>
      </c>
      <c r="G12" s="7" t="s">
        <v>231</v>
      </c>
      <c r="H12" s="2" t="s">
        <v>8</v>
      </c>
    </row>
    <row r="13" spans="1:15" x14ac:dyDescent="0.25">
      <c r="A13" s="1">
        <v>95</v>
      </c>
      <c r="B13" s="2">
        <v>1726</v>
      </c>
      <c r="C13" s="2" t="s">
        <v>116</v>
      </c>
      <c r="D13" s="2" t="s">
        <v>129</v>
      </c>
      <c r="E13" s="2">
        <v>1500</v>
      </c>
      <c r="F13" s="6">
        <v>0.15</v>
      </c>
      <c r="G13" s="7"/>
      <c r="H13" s="2" t="s">
        <v>8</v>
      </c>
    </row>
    <row r="14" spans="1:15" x14ac:dyDescent="0.25">
      <c r="A14" s="1">
        <v>102</v>
      </c>
      <c r="B14" s="2">
        <v>1726</v>
      </c>
      <c r="C14" s="2" t="s">
        <v>116</v>
      </c>
      <c r="D14" s="2" t="s">
        <v>129</v>
      </c>
      <c r="E14" s="2">
        <v>1000</v>
      </c>
      <c r="F14" s="6">
        <v>0.15</v>
      </c>
      <c r="G14" s="7"/>
      <c r="H14" s="2" t="s">
        <v>8</v>
      </c>
    </row>
    <row r="15" spans="1:15" x14ac:dyDescent="0.25">
      <c r="A15" s="1">
        <v>119</v>
      </c>
      <c r="B15" s="2">
        <v>1726</v>
      </c>
      <c r="C15" s="2" t="s">
        <v>113</v>
      </c>
      <c r="D15" s="2" t="s">
        <v>217</v>
      </c>
      <c r="E15" s="2">
        <v>500</v>
      </c>
      <c r="F15" s="6">
        <v>0.15</v>
      </c>
      <c r="G15" s="7"/>
      <c r="H15" s="3" t="s">
        <v>8</v>
      </c>
    </row>
    <row r="16" spans="1:15" x14ac:dyDescent="0.25">
      <c r="A16" s="1">
        <v>121</v>
      </c>
      <c r="B16" s="2">
        <v>1726</v>
      </c>
      <c r="C16" s="2" t="s">
        <v>113</v>
      </c>
      <c r="D16" s="2" t="s">
        <v>217</v>
      </c>
      <c r="E16" s="2">
        <v>2000</v>
      </c>
      <c r="F16" s="6">
        <v>0.15</v>
      </c>
      <c r="G16" s="7"/>
      <c r="H16" s="3" t="s">
        <v>8</v>
      </c>
    </row>
    <row r="17" spans="1:15" x14ac:dyDescent="0.25">
      <c r="A17" s="1">
        <v>124</v>
      </c>
      <c r="B17" s="2">
        <v>1726</v>
      </c>
      <c r="C17" s="2" t="s">
        <v>114</v>
      </c>
      <c r="D17" s="2" t="s">
        <v>220</v>
      </c>
      <c r="E17" s="2">
        <v>1000</v>
      </c>
      <c r="F17" s="7" t="s">
        <v>25</v>
      </c>
      <c r="G17" s="7"/>
      <c r="H17" s="3" t="s">
        <v>8</v>
      </c>
    </row>
    <row r="20" spans="1:15" x14ac:dyDescent="0.25">
      <c r="C20" s="16" t="s">
        <v>255</v>
      </c>
      <c r="F20" s="11">
        <f>AVERAGE(F2:F16)</f>
        <v>0.14666666666666661</v>
      </c>
    </row>
    <row r="22" spans="1:15" ht="25.5" x14ac:dyDescent="0.25">
      <c r="A22" s="4" t="s">
        <v>89</v>
      </c>
      <c r="B22" s="5" t="s">
        <v>0</v>
      </c>
      <c r="C22" s="5" t="s">
        <v>1</v>
      </c>
      <c r="D22" s="9" t="s">
        <v>159</v>
      </c>
      <c r="E22" s="5" t="s">
        <v>95</v>
      </c>
      <c r="F22" s="5" t="s">
        <v>2</v>
      </c>
      <c r="G22" s="9" t="s">
        <v>93</v>
      </c>
      <c r="H22" s="5" t="s">
        <v>3</v>
      </c>
    </row>
    <row r="23" spans="1:15" x14ac:dyDescent="0.25">
      <c r="A23" s="1">
        <v>1</v>
      </c>
      <c r="B23" s="2" t="s">
        <v>4</v>
      </c>
      <c r="C23" s="2" t="s">
        <v>5</v>
      </c>
      <c r="D23" s="2" t="s">
        <v>166</v>
      </c>
      <c r="E23" s="2">
        <v>1600</v>
      </c>
      <c r="F23" s="6">
        <v>0.2</v>
      </c>
      <c r="G23" s="7" t="s">
        <v>94</v>
      </c>
      <c r="H23" s="3" t="s">
        <v>6</v>
      </c>
      <c r="J23" s="16" t="s">
        <v>254</v>
      </c>
      <c r="N23">
        <v>1718</v>
      </c>
      <c r="O23" s="11">
        <f>AVERAGE(F46:F63)</f>
        <v>0.11764705882352944</v>
      </c>
    </row>
    <row r="24" spans="1:15" x14ac:dyDescent="0.25">
      <c r="A24" s="1">
        <v>2</v>
      </c>
      <c r="B24" s="2" t="s">
        <v>7</v>
      </c>
      <c r="C24" s="2" t="s">
        <v>90</v>
      </c>
      <c r="D24" s="2" t="s">
        <v>167</v>
      </c>
      <c r="E24" s="2">
        <v>1000</v>
      </c>
      <c r="F24" s="6">
        <v>0.2</v>
      </c>
      <c r="G24" s="7"/>
      <c r="H24" s="2" t="s">
        <v>8</v>
      </c>
      <c r="N24">
        <v>1720</v>
      </c>
      <c r="O24" s="11">
        <f>AVERAGE(F64:F89)</f>
        <v>0.14230769230769227</v>
      </c>
    </row>
    <row r="25" spans="1:15" x14ac:dyDescent="0.25">
      <c r="A25" s="1">
        <v>3</v>
      </c>
      <c r="B25" s="2" t="s">
        <v>7</v>
      </c>
      <c r="C25" s="2" t="s">
        <v>256</v>
      </c>
      <c r="D25" s="2" t="s">
        <v>102</v>
      </c>
      <c r="E25" s="2">
        <v>1000</v>
      </c>
      <c r="F25" s="6">
        <v>0.2</v>
      </c>
      <c r="G25" s="7"/>
      <c r="H25" s="2" t="s">
        <v>8</v>
      </c>
      <c r="N25">
        <v>1726</v>
      </c>
      <c r="O25" s="11">
        <f>AVERAGE(F90:F136)</f>
        <v>0.1404255319148936</v>
      </c>
    </row>
    <row r="26" spans="1:15" x14ac:dyDescent="0.25">
      <c r="A26" s="1">
        <v>4</v>
      </c>
      <c r="B26" s="2" t="s">
        <v>7</v>
      </c>
      <c r="C26" s="2" t="s">
        <v>9</v>
      </c>
      <c r="D26" s="2" t="s">
        <v>168</v>
      </c>
      <c r="E26" s="2">
        <v>1000</v>
      </c>
      <c r="F26" s="6">
        <v>0.2</v>
      </c>
      <c r="G26" s="7"/>
      <c r="H26" s="2" t="s">
        <v>8</v>
      </c>
    </row>
    <row r="27" spans="1:15" x14ac:dyDescent="0.25">
      <c r="A27" s="1">
        <v>5</v>
      </c>
      <c r="B27" s="2" t="s">
        <v>7</v>
      </c>
      <c r="C27" s="2" t="s">
        <v>91</v>
      </c>
      <c r="D27" s="2" t="s">
        <v>169</v>
      </c>
      <c r="E27" s="2">
        <v>960</v>
      </c>
      <c r="F27" s="6">
        <v>0.2</v>
      </c>
      <c r="G27" s="7"/>
      <c r="H27" s="2" t="s">
        <v>8</v>
      </c>
    </row>
    <row r="28" spans="1:15" x14ac:dyDescent="0.25">
      <c r="A28" s="1">
        <v>6</v>
      </c>
      <c r="B28" s="2" t="s">
        <v>7</v>
      </c>
      <c r="C28" s="2" t="s">
        <v>92</v>
      </c>
      <c r="D28" s="2" t="s">
        <v>170</v>
      </c>
      <c r="E28" s="2">
        <v>960</v>
      </c>
      <c r="F28" s="6">
        <v>0.2</v>
      </c>
      <c r="G28" s="7"/>
      <c r="H28" s="2" t="s">
        <v>8</v>
      </c>
    </row>
    <row r="29" spans="1:15" x14ac:dyDescent="0.25">
      <c r="A29" s="1">
        <v>7</v>
      </c>
      <c r="B29" s="2" t="s">
        <v>7</v>
      </c>
      <c r="C29" s="2" t="s">
        <v>171</v>
      </c>
      <c r="D29" s="2" t="s">
        <v>172</v>
      </c>
      <c r="E29" s="2">
        <v>300</v>
      </c>
      <c r="F29" s="6">
        <v>0.2</v>
      </c>
      <c r="G29" s="7"/>
      <c r="H29" s="2" t="s">
        <v>8</v>
      </c>
    </row>
    <row r="30" spans="1:15" x14ac:dyDescent="0.25">
      <c r="A30" s="1">
        <v>8</v>
      </c>
      <c r="B30" s="2" t="s">
        <v>7</v>
      </c>
      <c r="C30" s="2" t="s">
        <v>10</v>
      </c>
      <c r="D30" s="2" t="s">
        <v>173</v>
      </c>
      <c r="E30" s="2">
        <v>1260</v>
      </c>
      <c r="F30" s="6">
        <v>0.2</v>
      </c>
      <c r="G30" s="7"/>
      <c r="H30" s="2" t="s">
        <v>8</v>
      </c>
    </row>
    <row r="31" spans="1:15" x14ac:dyDescent="0.25">
      <c r="A31" s="1">
        <v>9</v>
      </c>
      <c r="B31" s="2" t="s">
        <v>7</v>
      </c>
      <c r="C31" s="2" t="s">
        <v>11</v>
      </c>
      <c r="D31" s="2" t="s">
        <v>174</v>
      </c>
      <c r="E31" s="2">
        <v>1900</v>
      </c>
      <c r="F31" s="6">
        <v>0.2</v>
      </c>
      <c r="G31" s="7"/>
      <c r="H31" s="2" t="s">
        <v>8</v>
      </c>
    </row>
    <row r="32" spans="1:15" x14ac:dyDescent="0.25">
      <c r="A32" s="1">
        <v>10</v>
      </c>
      <c r="B32" s="2" t="s">
        <v>7</v>
      </c>
      <c r="C32" s="2" t="s">
        <v>12</v>
      </c>
      <c r="D32" s="2" t="s">
        <v>138</v>
      </c>
      <c r="E32" s="2">
        <v>1000</v>
      </c>
      <c r="F32" s="6">
        <v>0.2</v>
      </c>
      <c r="G32" s="7"/>
      <c r="H32" s="2" t="s">
        <v>8</v>
      </c>
    </row>
    <row r="33" spans="1:8" x14ac:dyDescent="0.25">
      <c r="A33" s="1">
        <v>11</v>
      </c>
      <c r="B33" s="2" t="s">
        <v>7</v>
      </c>
      <c r="C33" s="2" t="s">
        <v>13</v>
      </c>
      <c r="D33" s="2" t="s">
        <v>175</v>
      </c>
      <c r="E33" s="2">
        <v>1000</v>
      </c>
      <c r="F33" s="6">
        <v>0.2</v>
      </c>
      <c r="G33" s="7"/>
      <c r="H33" s="2" t="s">
        <v>8</v>
      </c>
    </row>
    <row r="34" spans="1:8" x14ac:dyDescent="0.25">
      <c r="A34" s="1">
        <v>12</v>
      </c>
      <c r="B34" s="2" t="s">
        <v>7</v>
      </c>
      <c r="C34" s="2" t="s">
        <v>14</v>
      </c>
      <c r="D34" s="2" t="s">
        <v>105</v>
      </c>
      <c r="E34" s="2">
        <v>2000</v>
      </c>
      <c r="F34" s="6">
        <v>0.2</v>
      </c>
      <c r="G34" s="7"/>
      <c r="H34" s="2" t="s">
        <v>8</v>
      </c>
    </row>
    <row r="35" spans="1:8" x14ac:dyDescent="0.25">
      <c r="A35" s="1">
        <v>13</v>
      </c>
      <c r="B35" s="2" t="s">
        <v>7</v>
      </c>
      <c r="C35" s="2" t="s">
        <v>15</v>
      </c>
      <c r="D35" s="2" t="s">
        <v>176</v>
      </c>
      <c r="E35" s="2">
        <v>800</v>
      </c>
      <c r="F35" s="6">
        <v>0.2</v>
      </c>
      <c r="G35" s="7"/>
      <c r="H35" s="2" t="s">
        <v>8</v>
      </c>
    </row>
    <row r="36" spans="1:8" x14ac:dyDescent="0.25">
      <c r="A36" s="1">
        <v>14</v>
      </c>
      <c r="B36" s="2" t="s">
        <v>7</v>
      </c>
      <c r="C36" s="2" t="s">
        <v>16</v>
      </c>
      <c r="D36" s="2" t="s">
        <v>177</v>
      </c>
      <c r="E36" s="2">
        <v>300</v>
      </c>
      <c r="F36" s="6">
        <v>0.2</v>
      </c>
      <c r="G36" s="7"/>
      <c r="H36" s="2" t="s">
        <v>8</v>
      </c>
    </row>
    <row r="37" spans="1:8" x14ac:dyDescent="0.25">
      <c r="A37" s="1">
        <v>15</v>
      </c>
      <c r="B37" s="2" t="s">
        <v>7</v>
      </c>
      <c r="C37" s="2" t="s">
        <v>17</v>
      </c>
      <c r="D37" s="2" t="s">
        <v>149</v>
      </c>
      <c r="E37" s="2">
        <v>2000</v>
      </c>
      <c r="F37" s="6">
        <v>0.2</v>
      </c>
      <c r="G37" s="7"/>
      <c r="H37" s="2" t="s">
        <v>8</v>
      </c>
    </row>
    <row r="38" spans="1:8" x14ac:dyDescent="0.25">
      <c r="A38" s="1">
        <v>16</v>
      </c>
      <c r="B38" s="2" t="s">
        <v>7</v>
      </c>
      <c r="C38" s="2" t="s">
        <v>18</v>
      </c>
      <c r="D38" s="2" t="s">
        <v>105</v>
      </c>
      <c r="E38" s="2">
        <v>1000</v>
      </c>
      <c r="F38" s="6">
        <v>0.2</v>
      </c>
      <c r="G38" s="7"/>
      <c r="H38" s="2" t="s">
        <v>8</v>
      </c>
    </row>
    <row r="39" spans="1:8" x14ac:dyDescent="0.25">
      <c r="A39" s="1">
        <v>17</v>
      </c>
      <c r="B39" s="2" t="s">
        <v>7</v>
      </c>
      <c r="C39" s="2" t="s">
        <v>19</v>
      </c>
      <c r="D39" s="2" t="s">
        <v>153</v>
      </c>
      <c r="E39" s="2">
        <v>1000</v>
      </c>
      <c r="F39" s="6">
        <v>0.2</v>
      </c>
      <c r="G39" s="7"/>
      <c r="H39" s="2" t="s">
        <v>8</v>
      </c>
    </row>
    <row r="40" spans="1:8" x14ac:dyDescent="0.25">
      <c r="A40" s="1">
        <v>18</v>
      </c>
      <c r="B40" s="2" t="s">
        <v>7</v>
      </c>
      <c r="C40" s="2" t="s">
        <v>20</v>
      </c>
      <c r="D40" s="2" t="s">
        <v>178</v>
      </c>
      <c r="E40" s="2">
        <v>1000</v>
      </c>
      <c r="F40" s="6">
        <v>0.2</v>
      </c>
      <c r="G40" s="7"/>
      <c r="H40" s="2" t="s">
        <v>8</v>
      </c>
    </row>
    <row r="41" spans="1:8" x14ac:dyDescent="0.25">
      <c r="A41" s="1">
        <v>19</v>
      </c>
      <c r="B41" s="2" t="s">
        <v>7</v>
      </c>
      <c r="C41" s="2" t="s">
        <v>21</v>
      </c>
      <c r="D41" s="2" t="s">
        <v>139</v>
      </c>
      <c r="E41" s="2">
        <v>1000</v>
      </c>
      <c r="F41" s="6">
        <v>0.2</v>
      </c>
      <c r="G41" s="7"/>
      <c r="H41" s="2" t="s">
        <v>8</v>
      </c>
    </row>
    <row r="42" spans="1:8" x14ac:dyDescent="0.25">
      <c r="A42" s="1">
        <v>20</v>
      </c>
      <c r="B42" s="2" t="s">
        <v>7</v>
      </c>
      <c r="C42" s="2" t="s">
        <v>148</v>
      </c>
      <c r="D42" s="2" t="s">
        <v>179</v>
      </c>
      <c r="E42" s="2">
        <v>1000</v>
      </c>
      <c r="F42" s="6">
        <v>0.2</v>
      </c>
      <c r="G42" s="7"/>
      <c r="H42" s="2" t="s">
        <v>8</v>
      </c>
    </row>
    <row r="43" spans="1:8" x14ac:dyDescent="0.25">
      <c r="A43" s="1">
        <v>22</v>
      </c>
      <c r="B43" s="2" t="s">
        <v>7</v>
      </c>
      <c r="C43" s="2" t="s">
        <v>22</v>
      </c>
      <c r="D43" s="2" t="s">
        <v>105</v>
      </c>
      <c r="E43" s="2">
        <v>1000</v>
      </c>
      <c r="F43" s="6">
        <v>0.2</v>
      </c>
      <c r="G43" s="7"/>
      <c r="H43" s="2" t="s">
        <v>8</v>
      </c>
    </row>
    <row r="44" spans="1:8" x14ac:dyDescent="0.25">
      <c r="A44" s="1">
        <v>23</v>
      </c>
      <c r="B44" s="2" t="s">
        <v>7</v>
      </c>
      <c r="C44" s="2" t="s">
        <v>6</v>
      </c>
      <c r="D44" s="2" t="s">
        <v>105</v>
      </c>
      <c r="E44" s="2">
        <v>1000</v>
      </c>
      <c r="F44" s="6">
        <v>0.2</v>
      </c>
      <c r="G44" s="7"/>
      <c r="H44" s="2" t="s">
        <v>8</v>
      </c>
    </row>
    <row r="45" spans="1:8" x14ac:dyDescent="0.25">
      <c r="A45" s="1">
        <v>24</v>
      </c>
      <c r="B45" s="2" t="s">
        <v>7</v>
      </c>
      <c r="C45" s="2" t="s">
        <v>58</v>
      </c>
      <c r="D45" s="2" t="s">
        <v>156</v>
      </c>
      <c r="E45" s="2">
        <v>1000</v>
      </c>
      <c r="F45" s="6">
        <v>0.2</v>
      </c>
      <c r="G45" s="7"/>
      <c r="H45" s="2" t="s">
        <v>8</v>
      </c>
    </row>
    <row r="46" spans="1:8" x14ac:dyDescent="0.25">
      <c r="A46" s="1">
        <v>25</v>
      </c>
      <c r="B46" s="2" t="s">
        <v>23</v>
      </c>
      <c r="C46" s="2" t="s">
        <v>256</v>
      </c>
      <c r="D46" s="2" t="s">
        <v>102</v>
      </c>
      <c r="E46" s="2">
        <v>2000</v>
      </c>
      <c r="F46" s="6">
        <v>0.2</v>
      </c>
      <c r="G46" s="7"/>
      <c r="H46" s="2" t="s">
        <v>8</v>
      </c>
    </row>
    <row r="47" spans="1:8" x14ac:dyDescent="0.25">
      <c r="A47" s="1">
        <v>26</v>
      </c>
      <c r="B47" s="2" t="s">
        <v>23</v>
      </c>
      <c r="C47" s="2" t="s">
        <v>24</v>
      </c>
      <c r="D47" s="2" t="s">
        <v>168</v>
      </c>
      <c r="E47" s="2">
        <v>1000</v>
      </c>
      <c r="F47" s="7" t="s">
        <v>25</v>
      </c>
      <c r="G47" s="7"/>
      <c r="H47" s="2" t="s">
        <v>8</v>
      </c>
    </row>
    <row r="48" spans="1:8" x14ac:dyDescent="0.25">
      <c r="A48" s="1">
        <v>27</v>
      </c>
      <c r="B48" s="2" t="s">
        <v>23</v>
      </c>
      <c r="C48" s="2" t="s">
        <v>20</v>
      </c>
      <c r="D48" s="2" t="s">
        <v>178</v>
      </c>
      <c r="E48" s="2">
        <v>1000</v>
      </c>
      <c r="F48" s="6">
        <v>0.2</v>
      </c>
      <c r="G48" s="7"/>
      <c r="H48" s="2" t="s">
        <v>8</v>
      </c>
    </row>
    <row r="49" spans="1:8" ht="23.25" x14ac:dyDescent="0.25">
      <c r="A49" s="1">
        <v>28</v>
      </c>
      <c r="B49" s="2" t="s">
        <v>23</v>
      </c>
      <c r="C49" s="2" t="s">
        <v>17</v>
      </c>
      <c r="D49" s="2" t="s">
        <v>149</v>
      </c>
      <c r="E49" s="2">
        <v>2000</v>
      </c>
      <c r="F49" s="6">
        <v>0.1</v>
      </c>
      <c r="G49" s="7"/>
      <c r="H49" s="3" t="s">
        <v>123</v>
      </c>
    </row>
    <row r="50" spans="1:8" x14ac:dyDescent="0.25">
      <c r="A50" s="1">
        <v>29</v>
      </c>
      <c r="B50" s="2" t="s">
        <v>23</v>
      </c>
      <c r="C50" s="2" t="s">
        <v>19</v>
      </c>
      <c r="D50" s="2" t="s">
        <v>153</v>
      </c>
      <c r="E50" s="2">
        <v>2000</v>
      </c>
      <c r="F50" s="6">
        <v>0.1</v>
      </c>
      <c r="G50" s="7"/>
      <c r="H50" s="2" t="s">
        <v>8</v>
      </c>
    </row>
    <row r="51" spans="1:8" x14ac:dyDescent="0.25">
      <c r="A51" s="1">
        <v>30</v>
      </c>
      <c r="B51" s="2" t="s">
        <v>23</v>
      </c>
      <c r="C51" s="2" t="s">
        <v>19</v>
      </c>
      <c r="D51" s="2" t="s">
        <v>153</v>
      </c>
      <c r="E51" s="2">
        <v>1000</v>
      </c>
      <c r="F51" s="6">
        <v>0.1</v>
      </c>
      <c r="G51" s="7"/>
      <c r="H51" s="2" t="s">
        <v>8</v>
      </c>
    </row>
    <row r="52" spans="1:8" x14ac:dyDescent="0.25">
      <c r="A52" s="1">
        <v>31</v>
      </c>
      <c r="B52" s="2" t="s">
        <v>23</v>
      </c>
      <c r="C52" s="2" t="s">
        <v>26</v>
      </c>
      <c r="D52" s="2" t="s">
        <v>182</v>
      </c>
      <c r="E52" s="2">
        <v>1000</v>
      </c>
      <c r="F52" s="6">
        <v>0.1</v>
      </c>
      <c r="G52" s="7"/>
      <c r="H52" s="2" t="s">
        <v>8</v>
      </c>
    </row>
    <row r="53" spans="1:8" x14ac:dyDescent="0.25">
      <c r="A53" s="1">
        <v>32</v>
      </c>
      <c r="B53" s="2" t="s">
        <v>23</v>
      </c>
      <c r="C53" s="2" t="s">
        <v>21</v>
      </c>
      <c r="D53" s="2" t="s">
        <v>139</v>
      </c>
      <c r="E53" s="2">
        <v>1000</v>
      </c>
      <c r="F53" s="6">
        <v>0.1</v>
      </c>
      <c r="G53" s="7"/>
      <c r="H53" s="2" t="s">
        <v>8</v>
      </c>
    </row>
    <row r="54" spans="1:8" x14ac:dyDescent="0.25">
      <c r="A54" s="1">
        <v>34</v>
      </c>
      <c r="B54" s="2" t="s">
        <v>23</v>
      </c>
      <c r="C54" s="2" t="s">
        <v>6</v>
      </c>
      <c r="D54" s="2" t="s">
        <v>105</v>
      </c>
      <c r="E54" s="2">
        <v>6000</v>
      </c>
      <c r="F54" s="6">
        <v>0.1</v>
      </c>
      <c r="G54" s="7"/>
      <c r="H54" s="2" t="s">
        <v>8</v>
      </c>
    </row>
    <row r="55" spans="1:8" x14ac:dyDescent="0.25">
      <c r="A55" s="1">
        <v>36</v>
      </c>
      <c r="B55" s="2" t="s">
        <v>23</v>
      </c>
      <c r="C55" s="2" t="s">
        <v>27</v>
      </c>
      <c r="D55" s="2" t="s">
        <v>183</v>
      </c>
      <c r="E55" s="2">
        <v>2000</v>
      </c>
      <c r="F55" s="6">
        <v>0.1</v>
      </c>
      <c r="G55" s="7"/>
      <c r="H55" s="2" t="s">
        <v>8</v>
      </c>
    </row>
    <row r="56" spans="1:8" x14ac:dyDescent="0.25">
      <c r="A56" s="1">
        <v>37</v>
      </c>
      <c r="B56" s="2" t="s">
        <v>23</v>
      </c>
      <c r="C56" s="2" t="s">
        <v>126</v>
      </c>
      <c r="D56" s="2" t="s">
        <v>184</v>
      </c>
      <c r="E56" s="2">
        <v>1000</v>
      </c>
      <c r="F56" s="6">
        <v>0.1</v>
      </c>
      <c r="G56" s="7"/>
      <c r="H56" s="2" t="s">
        <v>8</v>
      </c>
    </row>
    <row r="57" spans="1:8" x14ac:dyDescent="0.25">
      <c r="A57" s="1">
        <v>38</v>
      </c>
      <c r="B57" s="2" t="s">
        <v>23</v>
      </c>
      <c r="C57" s="2" t="s">
        <v>28</v>
      </c>
      <c r="D57" s="2" t="s">
        <v>152</v>
      </c>
      <c r="E57" s="2">
        <v>1000</v>
      </c>
      <c r="F57" s="6">
        <v>0.1</v>
      </c>
      <c r="G57" s="7"/>
      <c r="H57" s="2" t="s">
        <v>8</v>
      </c>
    </row>
    <row r="58" spans="1:8" x14ac:dyDescent="0.25">
      <c r="A58" s="1">
        <v>39</v>
      </c>
      <c r="B58" s="2" t="s">
        <v>23</v>
      </c>
      <c r="C58" s="2" t="s">
        <v>29</v>
      </c>
      <c r="D58" s="2" t="s">
        <v>143</v>
      </c>
      <c r="E58" s="2">
        <v>2000</v>
      </c>
      <c r="F58" s="6">
        <v>0.1</v>
      </c>
      <c r="G58" s="7"/>
      <c r="H58" s="3" t="s">
        <v>30</v>
      </c>
    </row>
    <row r="59" spans="1:8" x14ac:dyDescent="0.25">
      <c r="A59" s="1">
        <v>40</v>
      </c>
      <c r="B59" s="2" t="s">
        <v>23</v>
      </c>
      <c r="C59" s="2" t="s">
        <v>31</v>
      </c>
      <c r="D59" s="2" t="s">
        <v>185</v>
      </c>
      <c r="E59" s="2">
        <v>1000</v>
      </c>
      <c r="F59" s="6">
        <v>0.1</v>
      </c>
      <c r="G59" s="7"/>
      <c r="H59" s="3" t="s">
        <v>124</v>
      </c>
    </row>
    <row r="60" spans="1:8" x14ac:dyDescent="0.25">
      <c r="A60" s="1">
        <v>41</v>
      </c>
      <c r="B60" s="2" t="s">
        <v>23</v>
      </c>
      <c r="C60" s="2" t="s">
        <v>145</v>
      </c>
      <c r="D60" s="2" t="s">
        <v>146</v>
      </c>
      <c r="E60" s="2">
        <v>1200</v>
      </c>
      <c r="F60" s="6">
        <v>0.1</v>
      </c>
      <c r="G60" s="7"/>
      <c r="H60" s="2" t="s">
        <v>8</v>
      </c>
    </row>
    <row r="61" spans="1:8" x14ac:dyDescent="0.25">
      <c r="A61" s="1">
        <v>42</v>
      </c>
      <c r="B61" s="2" t="s">
        <v>32</v>
      </c>
      <c r="C61" s="2" t="s">
        <v>33</v>
      </c>
      <c r="D61" s="2" t="s">
        <v>186</v>
      </c>
      <c r="E61" s="2">
        <v>1000</v>
      </c>
      <c r="F61" s="8">
        <v>0.2</v>
      </c>
      <c r="G61" s="10"/>
      <c r="H61" s="2" t="s">
        <v>8</v>
      </c>
    </row>
    <row r="62" spans="1:8" x14ac:dyDescent="0.25">
      <c r="A62" s="1">
        <v>43</v>
      </c>
      <c r="B62" s="2" t="s">
        <v>34</v>
      </c>
      <c r="C62" s="2" t="s">
        <v>35</v>
      </c>
      <c r="D62" s="2" t="s">
        <v>187</v>
      </c>
      <c r="E62" s="2">
        <v>1400</v>
      </c>
      <c r="F62" s="6">
        <v>0.1</v>
      </c>
      <c r="G62" s="7"/>
      <c r="H62" s="2" t="s">
        <v>8</v>
      </c>
    </row>
    <row r="63" spans="1:8" x14ac:dyDescent="0.25">
      <c r="A63" s="1">
        <v>44</v>
      </c>
      <c r="B63" s="2" t="s">
        <v>36</v>
      </c>
      <c r="C63" s="2" t="s">
        <v>37</v>
      </c>
      <c r="D63" s="2" t="s">
        <v>141</v>
      </c>
      <c r="E63" s="2">
        <v>1000</v>
      </c>
      <c r="F63" s="6">
        <v>0.1</v>
      </c>
      <c r="G63" s="7"/>
      <c r="H63" s="2" t="s">
        <v>8</v>
      </c>
    </row>
    <row r="64" spans="1:8" x14ac:dyDescent="0.25">
      <c r="A64" s="1">
        <v>45</v>
      </c>
      <c r="B64" s="2">
        <v>1720</v>
      </c>
      <c r="C64" s="2" t="s">
        <v>40</v>
      </c>
      <c r="D64" s="2" t="s">
        <v>165</v>
      </c>
      <c r="E64" s="2">
        <v>1000</v>
      </c>
      <c r="F64" s="6">
        <v>0.15</v>
      </c>
      <c r="G64" s="7"/>
      <c r="H64" s="2" t="s">
        <v>8</v>
      </c>
    </row>
    <row r="65" spans="1:8" x14ac:dyDescent="0.25">
      <c r="A65" s="1">
        <v>49</v>
      </c>
      <c r="B65" s="2">
        <v>1720</v>
      </c>
      <c r="C65" s="2" t="s">
        <v>29</v>
      </c>
      <c r="D65" s="2" t="s">
        <v>143</v>
      </c>
      <c r="E65" s="2">
        <v>2000</v>
      </c>
      <c r="F65" s="6">
        <v>0.15</v>
      </c>
      <c r="G65" s="7"/>
      <c r="H65" s="3" t="s">
        <v>38</v>
      </c>
    </row>
    <row r="66" spans="1:8" x14ac:dyDescent="0.25">
      <c r="A66" s="1">
        <v>50</v>
      </c>
      <c r="B66" s="2">
        <v>1720</v>
      </c>
      <c r="C66" s="2" t="s">
        <v>39</v>
      </c>
      <c r="D66" s="2" t="s">
        <v>178</v>
      </c>
      <c r="E66" s="2">
        <v>2000</v>
      </c>
      <c r="F66" s="6">
        <v>0.15</v>
      </c>
      <c r="G66" s="7"/>
      <c r="H66" s="2" t="s">
        <v>8</v>
      </c>
    </row>
    <row r="67" spans="1:8" ht="23.25" x14ac:dyDescent="0.25">
      <c r="A67" s="1">
        <v>52</v>
      </c>
      <c r="B67" s="2">
        <v>1720</v>
      </c>
      <c r="C67" s="2" t="s">
        <v>41</v>
      </c>
      <c r="D67" s="2" t="s">
        <v>149</v>
      </c>
      <c r="E67" s="2">
        <v>1000</v>
      </c>
      <c r="F67" s="6">
        <v>0.15</v>
      </c>
      <c r="G67" s="7"/>
      <c r="H67" s="3" t="s">
        <v>42</v>
      </c>
    </row>
    <row r="68" spans="1:8" x14ac:dyDescent="0.25">
      <c r="A68" s="1">
        <v>54</v>
      </c>
      <c r="B68" s="2">
        <v>1720</v>
      </c>
      <c r="C68" s="2" t="s">
        <v>44</v>
      </c>
      <c r="D68" s="2" t="s">
        <v>152</v>
      </c>
      <c r="E68" s="2">
        <v>1000</v>
      </c>
      <c r="F68" s="6">
        <v>0.15</v>
      </c>
      <c r="G68" s="7"/>
      <c r="H68" s="3" t="s">
        <v>8</v>
      </c>
    </row>
    <row r="69" spans="1:8" x14ac:dyDescent="0.25">
      <c r="A69" s="1">
        <v>55</v>
      </c>
      <c r="B69" s="2">
        <v>1720</v>
      </c>
      <c r="C69" s="2" t="s">
        <v>45</v>
      </c>
      <c r="D69" s="2" t="s">
        <v>188</v>
      </c>
      <c r="E69" s="2">
        <v>1000</v>
      </c>
      <c r="F69" s="6">
        <v>0.15</v>
      </c>
      <c r="G69" s="7"/>
      <c r="H69" s="3" t="s">
        <v>8</v>
      </c>
    </row>
    <row r="70" spans="1:8" x14ac:dyDescent="0.25">
      <c r="A70" s="1">
        <v>56</v>
      </c>
      <c r="B70" s="2">
        <v>1720</v>
      </c>
      <c r="C70" s="2" t="s">
        <v>46</v>
      </c>
      <c r="D70" s="2" t="s">
        <v>175</v>
      </c>
      <c r="E70" s="2">
        <v>1000</v>
      </c>
      <c r="F70" s="6">
        <v>0.15</v>
      </c>
      <c r="G70" s="7"/>
      <c r="H70" s="3" t="s">
        <v>47</v>
      </c>
    </row>
    <row r="71" spans="1:8" x14ac:dyDescent="0.25">
      <c r="A71" s="1">
        <v>57</v>
      </c>
      <c r="B71" s="2">
        <v>1720</v>
      </c>
      <c r="C71" s="2" t="s">
        <v>48</v>
      </c>
      <c r="D71" s="2" t="s">
        <v>189</v>
      </c>
      <c r="E71" s="2">
        <v>1000</v>
      </c>
      <c r="F71" s="6">
        <v>0.15</v>
      </c>
      <c r="G71" s="7"/>
      <c r="H71" s="2" t="s">
        <v>8</v>
      </c>
    </row>
    <row r="72" spans="1:8" x14ac:dyDescent="0.25">
      <c r="A72" s="1">
        <v>59</v>
      </c>
      <c r="B72" s="2">
        <v>1720</v>
      </c>
      <c r="C72" s="2" t="s">
        <v>49</v>
      </c>
      <c r="D72" s="2" t="s">
        <v>191</v>
      </c>
      <c r="E72" s="2">
        <v>1000</v>
      </c>
      <c r="F72" s="6">
        <v>0.15</v>
      </c>
      <c r="G72" s="7"/>
      <c r="H72" s="2" t="s">
        <v>8</v>
      </c>
    </row>
    <row r="73" spans="1:8" x14ac:dyDescent="0.25">
      <c r="A73" s="1">
        <v>61</v>
      </c>
      <c r="B73" s="2">
        <v>1720</v>
      </c>
      <c r="C73" s="2" t="s">
        <v>50</v>
      </c>
      <c r="D73" s="2" t="s">
        <v>168</v>
      </c>
      <c r="E73" s="2">
        <v>1000</v>
      </c>
      <c r="F73" s="6">
        <v>0.15</v>
      </c>
      <c r="G73" s="7"/>
      <c r="H73" s="2" t="s">
        <v>8</v>
      </c>
    </row>
    <row r="74" spans="1:8" x14ac:dyDescent="0.25">
      <c r="A74" s="1">
        <v>62</v>
      </c>
      <c r="B74" s="2">
        <v>1720</v>
      </c>
      <c r="C74" s="2" t="s">
        <v>65</v>
      </c>
      <c r="D74" s="2" t="s">
        <v>155</v>
      </c>
      <c r="E74" s="2">
        <v>1000</v>
      </c>
      <c r="F74" s="6">
        <v>0.15</v>
      </c>
      <c r="G74" s="7"/>
      <c r="H74" s="2" t="s">
        <v>8</v>
      </c>
    </row>
    <row r="75" spans="1:8" x14ac:dyDescent="0.25">
      <c r="A75" s="1">
        <v>63</v>
      </c>
      <c r="B75" s="2">
        <v>1720</v>
      </c>
      <c r="C75" s="2" t="s">
        <v>51</v>
      </c>
      <c r="D75" s="2" t="s">
        <v>193</v>
      </c>
      <c r="E75" s="2">
        <v>1100</v>
      </c>
      <c r="F75" s="6">
        <v>0.15</v>
      </c>
      <c r="G75" s="7"/>
      <c r="H75" s="2" t="s">
        <v>8</v>
      </c>
    </row>
    <row r="76" spans="1:8" x14ac:dyDescent="0.25">
      <c r="A76" s="1">
        <v>64</v>
      </c>
      <c r="B76" s="2">
        <v>1720</v>
      </c>
      <c r="C76" s="2" t="s">
        <v>140</v>
      </c>
      <c r="D76" s="2" t="s">
        <v>141</v>
      </c>
      <c r="E76" s="2">
        <v>1000</v>
      </c>
      <c r="F76" s="6">
        <v>0.15</v>
      </c>
      <c r="G76" s="7"/>
      <c r="H76" s="2" t="s">
        <v>8</v>
      </c>
    </row>
    <row r="77" spans="1:8" x14ac:dyDescent="0.25">
      <c r="A77" s="1">
        <v>65</v>
      </c>
      <c r="B77" s="2">
        <v>1720</v>
      </c>
      <c r="C77" s="2" t="s">
        <v>38</v>
      </c>
      <c r="D77" s="2" t="s">
        <v>146</v>
      </c>
      <c r="E77" s="2">
        <v>3000</v>
      </c>
      <c r="F77" s="6">
        <v>0.15</v>
      </c>
      <c r="G77" s="7"/>
      <c r="H77" s="2" t="s">
        <v>8</v>
      </c>
    </row>
    <row r="78" spans="1:8" x14ac:dyDescent="0.25">
      <c r="A78" s="1">
        <v>66</v>
      </c>
      <c r="B78" s="2">
        <v>1720</v>
      </c>
      <c r="C78" s="2" t="s">
        <v>103</v>
      </c>
      <c r="D78" s="2" t="s">
        <v>194</v>
      </c>
      <c r="E78" s="2">
        <v>2000</v>
      </c>
      <c r="F78" s="6">
        <v>0.15</v>
      </c>
      <c r="G78" s="7"/>
      <c r="H78" s="2" t="s">
        <v>8</v>
      </c>
    </row>
    <row r="79" spans="1:8" x14ac:dyDescent="0.25">
      <c r="A79" s="1">
        <v>68</v>
      </c>
      <c r="B79" s="2">
        <v>1720</v>
      </c>
      <c r="C79" s="2" t="s">
        <v>52</v>
      </c>
      <c r="D79" s="2" t="s">
        <v>196</v>
      </c>
      <c r="E79" s="2">
        <v>1000</v>
      </c>
      <c r="F79" s="6">
        <v>0.15</v>
      </c>
      <c r="G79" s="7"/>
      <c r="H79" s="3" t="s">
        <v>53</v>
      </c>
    </row>
    <row r="80" spans="1:8" x14ac:dyDescent="0.25">
      <c r="A80" s="1">
        <v>69</v>
      </c>
      <c r="B80" s="2">
        <v>1720</v>
      </c>
      <c r="C80" s="2" t="s">
        <v>54</v>
      </c>
      <c r="D80" s="2" t="s">
        <v>138</v>
      </c>
      <c r="E80" s="2">
        <v>1000</v>
      </c>
      <c r="F80" s="6">
        <v>0.15</v>
      </c>
      <c r="G80" s="7"/>
      <c r="H80" s="2" t="s">
        <v>8</v>
      </c>
    </row>
    <row r="81" spans="1:8" x14ac:dyDescent="0.25">
      <c r="A81" s="1">
        <v>70</v>
      </c>
      <c r="B81" s="2">
        <v>1720</v>
      </c>
      <c r="C81" s="2" t="s">
        <v>110</v>
      </c>
      <c r="D81" s="2" t="s">
        <v>197</v>
      </c>
      <c r="E81" s="2">
        <v>1000</v>
      </c>
      <c r="F81" s="8">
        <v>0.1</v>
      </c>
      <c r="G81" s="10"/>
      <c r="H81" s="2" t="s">
        <v>8</v>
      </c>
    </row>
    <row r="82" spans="1:8" x14ac:dyDescent="0.25">
      <c r="A82" s="1">
        <v>71</v>
      </c>
      <c r="B82" s="2">
        <v>1720</v>
      </c>
      <c r="C82" s="2" t="s">
        <v>55</v>
      </c>
      <c r="D82" s="2" t="s">
        <v>198</v>
      </c>
      <c r="E82" s="2">
        <v>500</v>
      </c>
      <c r="F82" s="8">
        <v>0.1</v>
      </c>
      <c r="G82" s="10"/>
      <c r="H82" s="2" t="s">
        <v>8</v>
      </c>
    </row>
    <row r="83" spans="1:8" x14ac:dyDescent="0.25">
      <c r="A83" s="1">
        <v>72</v>
      </c>
      <c r="B83" s="2" t="s">
        <v>56</v>
      </c>
      <c r="C83" s="2" t="s">
        <v>199</v>
      </c>
      <c r="D83" s="2" t="s">
        <v>102</v>
      </c>
      <c r="E83" s="2">
        <v>1000</v>
      </c>
      <c r="F83" s="6">
        <v>0.15</v>
      </c>
      <c r="G83" s="7"/>
      <c r="H83" s="2" t="s">
        <v>8</v>
      </c>
    </row>
    <row r="84" spans="1:8" x14ac:dyDescent="0.25">
      <c r="A84" s="1">
        <v>73</v>
      </c>
      <c r="B84" s="2" t="s">
        <v>56</v>
      </c>
      <c r="C84" s="2" t="s">
        <v>6</v>
      </c>
      <c r="D84" s="2" t="s">
        <v>105</v>
      </c>
      <c r="E84" s="2">
        <v>4000</v>
      </c>
      <c r="F84" s="6">
        <v>0.15</v>
      </c>
      <c r="G84" s="7"/>
      <c r="H84" s="2" t="s">
        <v>8</v>
      </c>
    </row>
    <row r="85" spans="1:8" ht="26.25" x14ac:dyDescent="0.25">
      <c r="A85" s="1">
        <v>74</v>
      </c>
      <c r="B85" s="2" t="s">
        <v>56</v>
      </c>
      <c r="C85" s="2" t="s">
        <v>125</v>
      </c>
      <c r="D85" s="2" t="s">
        <v>139</v>
      </c>
      <c r="E85" s="2">
        <v>2000</v>
      </c>
      <c r="F85" s="8">
        <v>0.1</v>
      </c>
      <c r="G85" s="10"/>
      <c r="H85" s="2" t="s">
        <v>8</v>
      </c>
    </row>
    <row r="86" spans="1:8" x14ac:dyDescent="0.25">
      <c r="A86" s="1">
        <v>75</v>
      </c>
      <c r="B86" s="2" t="s">
        <v>56</v>
      </c>
      <c r="C86" s="2" t="s">
        <v>122</v>
      </c>
      <c r="D86" s="2" t="s">
        <v>205</v>
      </c>
      <c r="E86" s="2">
        <v>800</v>
      </c>
      <c r="F86" s="8">
        <v>0.1</v>
      </c>
      <c r="G86" s="10"/>
      <c r="H86" s="2" t="s">
        <v>8</v>
      </c>
    </row>
    <row r="87" spans="1:8" x14ac:dyDescent="0.25">
      <c r="A87" s="1">
        <v>76</v>
      </c>
      <c r="B87" s="2" t="s">
        <v>56</v>
      </c>
      <c r="C87" s="2" t="s">
        <v>57</v>
      </c>
      <c r="D87" s="2" t="s">
        <v>200</v>
      </c>
      <c r="E87" s="2">
        <v>1000</v>
      </c>
      <c r="F87" s="6">
        <v>0.15</v>
      </c>
      <c r="G87" s="7"/>
      <c r="H87" s="2" t="s">
        <v>8</v>
      </c>
    </row>
    <row r="88" spans="1:8" x14ac:dyDescent="0.25">
      <c r="A88" s="1">
        <v>77</v>
      </c>
      <c r="B88" s="2" t="s">
        <v>56</v>
      </c>
      <c r="C88" s="2" t="s">
        <v>58</v>
      </c>
      <c r="D88" s="2" t="s">
        <v>156</v>
      </c>
      <c r="E88" s="2">
        <v>2000</v>
      </c>
      <c r="F88" s="6">
        <v>0.15</v>
      </c>
      <c r="G88" s="7"/>
      <c r="H88" s="2" t="s">
        <v>8</v>
      </c>
    </row>
    <row r="89" spans="1:8" x14ac:dyDescent="0.25">
      <c r="A89" s="1">
        <v>78</v>
      </c>
      <c r="B89" s="2" t="s">
        <v>56</v>
      </c>
      <c r="C89" s="2" t="s">
        <v>59</v>
      </c>
      <c r="D89" s="2" t="s">
        <v>201</v>
      </c>
      <c r="E89" s="2">
        <v>2000</v>
      </c>
      <c r="F89" s="6">
        <v>0.15</v>
      </c>
      <c r="G89" s="7"/>
      <c r="H89" s="2" t="s">
        <v>8</v>
      </c>
    </row>
    <row r="90" spans="1:8" x14ac:dyDescent="0.25">
      <c r="A90" s="1">
        <v>79</v>
      </c>
      <c r="B90" s="2">
        <v>1726</v>
      </c>
      <c r="C90" s="2" t="s">
        <v>6</v>
      </c>
      <c r="D90" s="2" t="s">
        <v>105</v>
      </c>
      <c r="E90" s="2">
        <v>3000</v>
      </c>
      <c r="F90" s="6">
        <v>0.15</v>
      </c>
      <c r="G90" s="7" t="s">
        <v>229</v>
      </c>
      <c r="H90" s="2" t="s">
        <v>8</v>
      </c>
    </row>
    <row r="91" spans="1:8" x14ac:dyDescent="0.25">
      <c r="A91" s="1">
        <v>80</v>
      </c>
      <c r="B91" s="2">
        <v>1726</v>
      </c>
      <c r="C91" s="2" t="s">
        <v>88</v>
      </c>
      <c r="D91" s="2" t="s">
        <v>146</v>
      </c>
      <c r="E91" s="2">
        <v>1500</v>
      </c>
      <c r="F91" s="6">
        <v>0.15</v>
      </c>
      <c r="G91" s="7"/>
      <c r="H91" s="2" t="s">
        <v>8</v>
      </c>
    </row>
    <row r="92" spans="1:8" x14ac:dyDescent="0.25">
      <c r="A92" s="1">
        <v>81</v>
      </c>
      <c r="B92" s="2">
        <v>1726</v>
      </c>
      <c r="C92" s="2" t="s">
        <v>60</v>
      </c>
      <c r="D92" s="2" t="s">
        <v>146</v>
      </c>
      <c r="E92" s="2">
        <v>1500</v>
      </c>
      <c r="F92" s="6">
        <v>0.15</v>
      </c>
      <c r="G92" s="7"/>
      <c r="H92" s="2" t="s">
        <v>8</v>
      </c>
    </row>
    <row r="93" spans="1:8" x14ac:dyDescent="0.25">
      <c r="A93" s="1">
        <v>82</v>
      </c>
      <c r="B93" s="2">
        <v>1726</v>
      </c>
      <c r="C93" s="2" t="s">
        <v>28</v>
      </c>
      <c r="D93" s="2" t="s">
        <v>152</v>
      </c>
      <c r="E93" s="2">
        <v>3000</v>
      </c>
      <c r="F93" s="6">
        <v>0.15</v>
      </c>
      <c r="G93" s="7"/>
      <c r="H93" s="2" t="s">
        <v>8</v>
      </c>
    </row>
    <row r="94" spans="1:8" x14ac:dyDescent="0.25">
      <c r="A94" s="1">
        <v>83</v>
      </c>
      <c r="B94" s="2">
        <v>1726</v>
      </c>
      <c r="C94" s="2" t="s">
        <v>202</v>
      </c>
      <c r="D94" s="2" t="s">
        <v>201</v>
      </c>
      <c r="E94" s="2">
        <v>3000</v>
      </c>
      <c r="F94" s="6">
        <v>0.15</v>
      </c>
      <c r="G94" s="7"/>
      <c r="H94" s="2" t="s">
        <v>8</v>
      </c>
    </row>
    <row r="95" spans="1:8" x14ac:dyDescent="0.25">
      <c r="A95" s="1">
        <v>84</v>
      </c>
      <c r="B95" s="2">
        <v>1726</v>
      </c>
      <c r="C95" s="2" t="s">
        <v>61</v>
      </c>
      <c r="D95" s="2" t="s">
        <v>203</v>
      </c>
      <c r="E95" s="2">
        <v>3000</v>
      </c>
      <c r="F95" s="6">
        <v>0.15</v>
      </c>
      <c r="G95" s="7"/>
      <c r="H95" s="2" t="s">
        <v>8</v>
      </c>
    </row>
    <row r="96" spans="1:8" x14ac:dyDescent="0.25">
      <c r="A96" s="1">
        <v>85</v>
      </c>
      <c r="B96" s="2">
        <v>1726</v>
      </c>
      <c r="C96" s="2" t="s">
        <v>29</v>
      </c>
      <c r="D96" s="2" t="s">
        <v>143</v>
      </c>
      <c r="E96" s="2">
        <v>3000</v>
      </c>
      <c r="F96" s="6">
        <v>0.15</v>
      </c>
      <c r="G96" s="7"/>
      <c r="H96" s="2" t="s">
        <v>8</v>
      </c>
    </row>
    <row r="97" spans="1:8" x14ac:dyDescent="0.25">
      <c r="A97" s="1">
        <v>86</v>
      </c>
      <c r="B97" s="2">
        <v>1726</v>
      </c>
      <c r="C97" s="2" t="s">
        <v>58</v>
      </c>
      <c r="D97" s="2" t="s">
        <v>156</v>
      </c>
      <c r="E97" s="2">
        <v>3000</v>
      </c>
      <c r="F97" s="6">
        <v>0.15</v>
      </c>
      <c r="G97" s="7"/>
      <c r="H97" s="2" t="s">
        <v>8</v>
      </c>
    </row>
    <row r="98" spans="1:8" x14ac:dyDescent="0.25">
      <c r="A98" s="1">
        <v>87</v>
      </c>
      <c r="B98" s="2">
        <v>1726</v>
      </c>
      <c r="C98" s="2" t="s">
        <v>62</v>
      </c>
      <c r="D98" s="2" t="s">
        <v>204</v>
      </c>
      <c r="E98" s="2">
        <v>3000</v>
      </c>
      <c r="F98" s="6">
        <v>0.15</v>
      </c>
      <c r="G98" s="7"/>
      <c r="H98" s="2" t="s">
        <v>8</v>
      </c>
    </row>
    <row r="99" spans="1:8" x14ac:dyDescent="0.25">
      <c r="A99" s="1">
        <v>88</v>
      </c>
      <c r="B99" s="2">
        <v>1726</v>
      </c>
      <c r="C99" s="2" t="s">
        <v>63</v>
      </c>
      <c r="D99" s="2" t="s">
        <v>178</v>
      </c>
      <c r="E99" s="2">
        <v>1800</v>
      </c>
      <c r="F99" s="6">
        <v>0.15</v>
      </c>
      <c r="G99" s="7"/>
      <c r="H99" s="2" t="s">
        <v>8</v>
      </c>
    </row>
    <row r="100" spans="1:8" x14ac:dyDescent="0.25">
      <c r="A100" s="1">
        <v>89</v>
      </c>
      <c r="B100" s="2">
        <v>1726</v>
      </c>
      <c r="C100" s="2" t="s">
        <v>109</v>
      </c>
      <c r="D100" s="2" t="s">
        <v>206</v>
      </c>
      <c r="E100" s="2">
        <v>3000</v>
      </c>
      <c r="F100" s="6">
        <v>0.15</v>
      </c>
      <c r="G100" s="7"/>
      <c r="H100" s="2" t="s">
        <v>8</v>
      </c>
    </row>
    <row r="101" spans="1:8" x14ac:dyDescent="0.25">
      <c r="A101" s="1">
        <v>91</v>
      </c>
      <c r="B101" s="2">
        <v>1726</v>
      </c>
      <c r="C101" s="2" t="s">
        <v>122</v>
      </c>
      <c r="D101" s="2" t="s">
        <v>205</v>
      </c>
      <c r="E101" s="2">
        <v>1000</v>
      </c>
      <c r="F101" s="6">
        <v>0.15</v>
      </c>
      <c r="G101" s="7"/>
      <c r="H101" s="2" t="s">
        <v>8</v>
      </c>
    </row>
    <row r="102" spans="1:8" x14ac:dyDescent="0.25">
      <c r="A102" s="1">
        <v>92</v>
      </c>
      <c r="B102" s="2">
        <v>1726</v>
      </c>
      <c r="C102" s="2" t="s">
        <v>17</v>
      </c>
      <c r="D102" s="2" t="s">
        <v>149</v>
      </c>
      <c r="E102" s="2">
        <v>1000</v>
      </c>
      <c r="F102" s="6">
        <v>0.15</v>
      </c>
      <c r="G102" s="7"/>
      <c r="H102" s="2" t="s">
        <v>8</v>
      </c>
    </row>
    <row r="103" spans="1:8" x14ac:dyDescent="0.25">
      <c r="A103" s="1">
        <v>93</v>
      </c>
      <c r="B103" s="2">
        <v>1726</v>
      </c>
      <c r="C103" s="2" t="s">
        <v>64</v>
      </c>
      <c r="D103" s="2" t="s">
        <v>207</v>
      </c>
      <c r="E103" s="2">
        <v>1000</v>
      </c>
      <c r="F103" s="6">
        <v>0.15</v>
      </c>
      <c r="G103" s="7"/>
      <c r="H103" s="2" t="s">
        <v>8</v>
      </c>
    </row>
    <row r="104" spans="1:8" x14ac:dyDescent="0.25">
      <c r="A104" s="1">
        <v>94</v>
      </c>
      <c r="B104" s="2">
        <v>1726</v>
      </c>
      <c r="C104" s="2" t="s">
        <v>65</v>
      </c>
      <c r="D104" s="2" t="s">
        <v>155</v>
      </c>
      <c r="E104" s="2">
        <v>3000</v>
      </c>
      <c r="F104" s="6">
        <v>0.15</v>
      </c>
      <c r="G104" s="7"/>
      <c r="H104" s="2" t="s">
        <v>8</v>
      </c>
    </row>
    <row r="105" spans="1:8" x14ac:dyDescent="0.25">
      <c r="A105" s="1">
        <v>96</v>
      </c>
      <c r="B105" s="2">
        <v>1726</v>
      </c>
      <c r="C105" s="2" t="s">
        <v>66</v>
      </c>
      <c r="D105" s="2" t="s">
        <v>208</v>
      </c>
      <c r="E105" s="2">
        <v>1100</v>
      </c>
      <c r="F105" s="6">
        <v>0.15</v>
      </c>
      <c r="G105" s="7"/>
      <c r="H105" s="2" t="s">
        <v>8</v>
      </c>
    </row>
    <row r="106" spans="1:8" x14ac:dyDescent="0.25">
      <c r="A106" s="1">
        <v>97</v>
      </c>
      <c r="B106" s="2">
        <v>1726</v>
      </c>
      <c r="C106" s="2" t="s">
        <v>67</v>
      </c>
      <c r="D106" s="2" t="s">
        <v>209</v>
      </c>
      <c r="E106" s="2">
        <v>1100</v>
      </c>
      <c r="F106" s="6">
        <v>0.15</v>
      </c>
      <c r="G106" s="7"/>
      <c r="H106" s="2" t="s">
        <v>8</v>
      </c>
    </row>
    <row r="107" spans="1:8" x14ac:dyDescent="0.25">
      <c r="A107" s="1">
        <v>98</v>
      </c>
      <c r="B107" s="2">
        <v>1726</v>
      </c>
      <c r="C107" s="2" t="s">
        <v>18</v>
      </c>
      <c r="D107" s="2" t="s">
        <v>105</v>
      </c>
      <c r="E107" s="2">
        <v>1000</v>
      </c>
      <c r="F107" s="6">
        <v>0.15</v>
      </c>
      <c r="G107" s="7"/>
      <c r="H107" s="2" t="s">
        <v>8</v>
      </c>
    </row>
    <row r="108" spans="1:8" x14ac:dyDescent="0.25">
      <c r="A108" s="1">
        <v>99</v>
      </c>
      <c r="B108" s="2">
        <v>1726</v>
      </c>
      <c r="C108" s="2" t="s">
        <v>68</v>
      </c>
      <c r="D108" s="2" t="s">
        <v>210</v>
      </c>
      <c r="E108" s="2">
        <v>1000</v>
      </c>
      <c r="F108" s="6">
        <v>0.15</v>
      </c>
      <c r="G108" s="7"/>
      <c r="H108" s="2" t="s">
        <v>8</v>
      </c>
    </row>
    <row r="109" spans="1:8" x14ac:dyDescent="0.25">
      <c r="A109" s="1">
        <v>100</v>
      </c>
      <c r="B109" s="2">
        <v>1726</v>
      </c>
      <c r="C109" s="2" t="s">
        <v>69</v>
      </c>
      <c r="D109" s="2" t="s">
        <v>105</v>
      </c>
      <c r="E109" s="2">
        <v>2000</v>
      </c>
      <c r="F109" s="6">
        <v>0.15</v>
      </c>
      <c r="G109" s="7"/>
      <c r="H109" s="2" t="s">
        <v>8</v>
      </c>
    </row>
    <row r="110" spans="1:8" x14ac:dyDescent="0.25">
      <c r="A110" s="1">
        <v>101</v>
      </c>
      <c r="B110" s="2">
        <v>1726</v>
      </c>
      <c r="C110" s="2" t="s">
        <v>37</v>
      </c>
      <c r="D110" s="2" t="s">
        <v>141</v>
      </c>
      <c r="E110" s="2">
        <v>1500</v>
      </c>
      <c r="F110" s="6">
        <v>0.15</v>
      </c>
      <c r="G110" s="7"/>
      <c r="H110" s="2" t="s">
        <v>8</v>
      </c>
    </row>
    <row r="111" spans="1:8" x14ac:dyDescent="0.25">
      <c r="A111" s="1">
        <v>103</v>
      </c>
      <c r="B111" s="2">
        <v>1726</v>
      </c>
      <c r="C111" s="2" t="s">
        <v>70</v>
      </c>
      <c r="D111" s="2" t="s">
        <v>133</v>
      </c>
      <c r="E111" s="2">
        <v>1500</v>
      </c>
      <c r="F111" s="6">
        <v>0.15</v>
      </c>
      <c r="G111" s="7"/>
      <c r="H111" s="2" t="s">
        <v>8</v>
      </c>
    </row>
    <row r="112" spans="1:8" ht="26.25" x14ac:dyDescent="0.25">
      <c r="A112" s="1">
        <v>104</v>
      </c>
      <c r="B112" s="2">
        <v>1726</v>
      </c>
      <c r="C112" s="2" t="s">
        <v>71</v>
      </c>
      <c r="D112" s="2" t="s">
        <v>146</v>
      </c>
      <c r="E112" s="2">
        <v>2000</v>
      </c>
      <c r="F112" s="6">
        <v>0.15</v>
      </c>
      <c r="G112" s="7"/>
      <c r="H112" s="2" t="s">
        <v>8</v>
      </c>
    </row>
    <row r="113" spans="1:8" ht="26.25" x14ac:dyDescent="0.25">
      <c r="A113" s="1">
        <v>105</v>
      </c>
      <c r="B113" s="2">
        <v>1726</v>
      </c>
      <c r="C113" s="2" t="s">
        <v>125</v>
      </c>
      <c r="D113" s="2" t="s">
        <v>139</v>
      </c>
      <c r="E113" s="2">
        <v>2000</v>
      </c>
      <c r="F113" s="6">
        <v>0.15</v>
      </c>
      <c r="G113" s="7"/>
      <c r="H113" s="2" t="s">
        <v>8</v>
      </c>
    </row>
    <row r="114" spans="1:8" x14ac:dyDescent="0.25">
      <c r="A114" s="1">
        <v>106</v>
      </c>
      <c r="B114" s="2">
        <v>1726</v>
      </c>
      <c r="C114" s="2" t="s">
        <v>72</v>
      </c>
      <c r="D114" s="2" t="s">
        <v>133</v>
      </c>
      <c r="E114" s="2">
        <v>3000</v>
      </c>
      <c r="F114" s="6">
        <v>0.15</v>
      </c>
      <c r="G114" s="7"/>
      <c r="H114" s="2" t="s">
        <v>8</v>
      </c>
    </row>
    <row r="115" spans="1:8" x14ac:dyDescent="0.25">
      <c r="A115" s="1">
        <v>107</v>
      </c>
      <c r="B115" s="2">
        <v>1726</v>
      </c>
      <c r="C115" s="2" t="s">
        <v>73</v>
      </c>
      <c r="D115" s="2" t="s">
        <v>105</v>
      </c>
      <c r="E115" s="2">
        <v>1000</v>
      </c>
      <c r="F115" s="6">
        <v>0.15</v>
      </c>
      <c r="G115" s="7"/>
      <c r="H115" s="2" t="s">
        <v>8</v>
      </c>
    </row>
    <row r="116" spans="1:8" x14ac:dyDescent="0.25">
      <c r="A116" s="1">
        <v>108</v>
      </c>
      <c r="B116" s="2">
        <v>1726</v>
      </c>
      <c r="C116" s="2" t="s">
        <v>74</v>
      </c>
      <c r="D116" s="2" t="s">
        <v>105</v>
      </c>
      <c r="E116" s="2">
        <v>1000</v>
      </c>
      <c r="F116" s="6">
        <v>0.15</v>
      </c>
      <c r="G116" s="7"/>
      <c r="H116" s="2" t="s">
        <v>8</v>
      </c>
    </row>
    <row r="117" spans="1:8" x14ac:dyDescent="0.25">
      <c r="A117" s="1">
        <v>109</v>
      </c>
      <c r="B117" s="2">
        <v>1726</v>
      </c>
      <c r="C117" s="2" t="s">
        <v>75</v>
      </c>
      <c r="D117" s="2" t="s">
        <v>211</v>
      </c>
      <c r="E117" s="2">
        <v>600</v>
      </c>
      <c r="F117" s="6">
        <v>0.15</v>
      </c>
      <c r="G117" s="7"/>
      <c r="H117" s="2" t="s">
        <v>8</v>
      </c>
    </row>
    <row r="118" spans="1:8" x14ac:dyDescent="0.25">
      <c r="A118" s="1">
        <v>110</v>
      </c>
      <c r="B118" s="2">
        <v>1726</v>
      </c>
      <c r="C118" s="2" t="s">
        <v>104</v>
      </c>
      <c r="D118" s="2" t="s">
        <v>173</v>
      </c>
      <c r="E118" s="2">
        <v>300</v>
      </c>
      <c r="F118" s="6">
        <v>0.15</v>
      </c>
      <c r="G118" s="7"/>
      <c r="H118" s="2" t="s">
        <v>8</v>
      </c>
    </row>
    <row r="119" spans="1:8" ht="26.25" x14ac:dyDescent="0.25">
      <c r="A119" s="1">
        <v>111</v>
      </c>
      <c r="B119" s="2">
        <v>1726</v>
      </c>
      <c r="C119" s="2" t="s">
        <v>128</v>
      </c>
      <c r="D119" s="2" t="s">
        <v>200</v>
      </c>
      <c r="E119" s="2">
        <v>1500</v>
      </c>
      <c r="F119" s="6">
        <v>0.15</v>
      </c>
      <c r="G119" s="7"/>
      <c r="H119" s="2" t="s">
        <v>8</v>
      </c>
    </row>
    <row r="120" spans="1:8" x14ac:dyDescent="0.25">
      <c r="A120" s="1">
        <v>112</v>
      </c>
      <c r="B120" s="2">
        <v>1726</v>
      </c>
      <c r="C120" s="2" t="s">
        <v>76</v>
      </c>
      <c r="D120" s="2" t="s">
        <v>212</v>
      </c>
      <c r="E120" s="2">
        <v>1500</v>
      </c>
      <c r="F120" s="6">
        <v>0.15</v>
      </c>
      <c r="G120" s="7"/>
      <c r="H120" s="2" t="s">
        <v>8</v>
      </c>
    </row>
    <row r="121" spans="1:8" x14ac:dyDescent="0.25">
      <c r="A121" s="1">
        <v>113</v>
      </c>
      <c r="B121" s="2">
        <v>1726</v>
      </c>
      <c r="C121" s="2" t="s">
        <v>98</v>
      </c>
      <c r="D121" s="2" t="s">
        <v>213</v>
      </c>
      <c r="E121" s="2">
        <v>1000</v>
      </c>
      <c r="F121" s="6">
        <v>0.15</v>
      </c>
      <c r="G121" s="7"/>
      <c r="H121" s="2" t="s">
        <v>8</v>
      </c>
    </row>
    <row r="122" spans="1:8" x14ac:dyDescent="0.25">
      <c r="A122" s="1">
        <v>114</v>
      </c>
      <c r="B122" s="2">
        <v>1726</v>
      </c>
      <c r="C122" s="2" t="s">
        <v>121</v>
      </c>
      <c r="D122" s="2" t="s">
        <v>138</v>
      </c>
      <c r="E122" s="2">
        <v>1000</v>
      </c>
      <c r="F122" s="6">
        <v>0.15</v>
      </c>
      <c r="G122" s="7"/>
      <c r="H122" s="2" t="s">
        <v>8</v>
      </c>
    </row>
    <row r="123" spans="1:8" ht="26.25" x14ac:dyDescent="0.25">
      <c r="A123" s="1">
        <v>115</v>
      </c>
      <c r="B123" s="2">
        <v>1726</v>
      </c>
      <c r="C123" s="2" t="s">
        <v>77</v>
      </c>
      <c r="D123" s="2" t="s">
        <v>105</v>
      </c>
      <c r="E123" s="2">
        <v>1000</v>
      </c>
      <c r="F123" s="6">
        <v>0.15</v>
      </c>
      <c r="G123" s="7"/>
      <c r="H123" s="3" t="s">
        <v>6</v>
      </c>
    </row>
    <row r="124" spans="1:8" x14ac:dyDescent="0.25">
      <c r="A124" s="1">
        <v>116</v>
      </c>
      <c r="B124" s="2">
        <v>1726</v>
      </c>
      <c r="C124" s="2" t="s">
        <v>97</v>
      </c>
      <c r="D124" s="2" t="s">
        <v>214</v>
      </c>
      <c r="E124" s="2">
        <v>1000</v>
      </c>
      <c r="F124" s="6">
        <v>0.15</v>
      </c>
      <c r="G124" s="7"/>
      <c r="H124" s="3" t="s">
        <v>78</v>
      </c>
    </row>
    <row r="125" spans="1:8" x14ac:dyDescent="0.25">
      <c r="A125" s="1">
        <v>117</v>
      </c>
      <c r="B125" s="2">
        <v>1726</v>
      </c>
      <c r="C125" s="2" t="s">
        <v>79</v>
      </c>
      <c r="D125" s="2" t="s">
        <v>215</v>
      </c>
      <c r="E125" s="2">
        <v>1000</v>
      </c>
      <c r="F125" s="6">
        <v>0.15</v>
      </c>
      <c r="G125" s="7"/>
      <c r="H125" s="3" t="s">
        <v>8</v>
      </c>
    </row>
    <row r="126" spans="1:8" ht="26.25" x14ac:dyDescent="0.25">
      <c r="A126" s="1">
        <v>118</v>
      </c>
      <c r="B126" s="2">
        <v>1726</v>
      </c>
      <c r="C126" s="2" t="s">
        <v>252</v>
      </c>
      <c r="D126" s="2" t="s">
        <v>216</v>
      </c>
      <c r="E126" s="2">
        <v>1000</v>
      </c>
      <c r="F126" s="6">
        <v>0.15</v>
      </c>
      <c r="G126" s="7" t="s">
        <v>228</v>
      </c>
      <c r="H126" s="3" t="s">
        <v>8</v>
      </c>
    </row>
    <row r="127" spans="1:8" x14ac:dyDescent="0.25">
      <c r="A127" s="1">
        <v>120</v>
      </c>
      <c r="B127" s="2">
        <v>1726</v>
      </c>
      <c r="C127" s="2" t="s">
        <v>80</v>
      </c>
      <c r="D127" s="2" t="s">
        <v>218</v>
      </c>
      <c r="E127" s="2">
        <v>1000</v>
      </c>
      <c r="F127" s="6">
        <v>0.15</v>
      </c>
      <c r="G127" s="7"/>
      <c r="H127" s="3" t="s">
        <v>8</v>
      </c>
    </row>
    <row r="128" spans="1:8" x14ac:dyDescent="0.25">
      <c r="A128" s="1">
        <v>122</v>
      </c>
      <c r="B128" s="2">
        <v>1726</v>
      </c>
      <c r="C128" s="2" t="s">
        <v>81</v>
      </c>
      <c r="D128" s="2" t="s">
        <v>219</v>
      </c>
      <c r="E128" s="2">
        <v>2000</v>
      </c>
      <c r="F128" s="6">
        <v>0.1</v>
      </c>
      <c r="G128" s="7"/>
      <c r="H128" s="3" t="s">
        <v>8</v>
      </c>
    </row>
    <row r="129" spans="1:8" x14ac:dyDescent="0.25">
      <c r="A129" s="1">
        <v>123</v>
      </c>
      <c r="B129" s="2">
        <v>1726</v>
      </c>
      <c r="C129" s="2" t="s">
        <v>82</v>
      </c>
      <c r="D129" s="2" t="s">
        <v>105</v>
      </c>
      <c r="E129" s="2">
        <v>1000</v>
      </c>
      <c r="F129" s="6">
        <v>0.1</v>
      </c>
      <c r="G129" s="7"/>
      <c r="H129" s="3" t="s">
        <v>8</v>
      </c>
    </row>
    <row r="130" spans="1:8" x14ac:dyDescent="0.25">
      <c r="A130" s="1">
        <v>125</v>
      </c>
      <c r="B130" s="2">
        <v>1726</v>
      </c>
      <c r="C130" s="2" t="s">
        <v>100</v>
      </c>
      <c r="D130" s="2" t="s">
        <v>221</v>
      </c>
      <c r="E130" s="2">
        <v>2000</v>
      </c>
      <c r="F130" s="6">
        <v>0.1</v>
      </c>
      <c r="G130" s="7"/>
      <c r="H130" s="3" t="s">
        <v>8</v>
      </c>
    </row>
    <row r="131" spans="1:8" ht="23.25" x14ac:dyDescent="0.25">
      <c r="A131" s="1">
        <v>126</v>
      </c>
      <c r="B131" s="2">
        <v>1726</v>
      </c>
      <c r="C131" s="2" t="s">
        <v>111</v>
      </c>
      <c r="D131" s="2" t="s">
        <v>222</v>
      </c>
      <c r="E131" s="2">
        <v>2000</v>
      </c>
      <c r="F131" s="6">
        <v>0.1</v>
      </c>
      <c r="G131" s="7"/>
      <c r="H131" s="3" t="s">
        <v>83</v>
      </c>
    </row>
    <row r="132" spans="1:8" x14ac:dyDescent="0.25">
      <c r="A132" s="1">
        <v>127</v>
      </c>
      <c r="B132" s="2">
        <v>1726</v>
      </c>
      <c r="C132" s="2" t="s">
        <v>84</v>
      </c>
      <c r="D132" s="2" t="s">
        <v>223</v>
      </c>
      <c r="E132" s="2">
        <v>1000</v>
      </c>
      <c r="F132" s="6">
        <v>0.1</v>
      </c>
      <c r="G132" s="7"/>
      <c r="H132" s="2" t="s">
        <v>8</v>
      </c>
    </row>
    <row r="133" spans="1:8" x14ac:dyDescent="0.25">
      <c r="A133" s="1">
        <v>128</v>
      </c>
      <c r="B133" s="2">
        <v>1726</v>
      </c>
      <c r="C133" s="2" t="s">
        <v>85</v>
      </c>
      <c r="D133" s="2" t="s">
        <v>224</v>
      </c>
      <c r="E133" s="2">
        <v>1000</v>
      </c>
      <c r="F133" s="6">
        <v>0.1</v>
      </c>
      <c r="G133" s="7"/>
      <c r="H133" s="2" t="s">
        <v>8</v>
      </c>
    </row>
    <row r="134" spans="1:8" x14ac:dyDescent="0.25">
      <c r="A134" s="1">
        <v>129</v>
      </c>
      <c r="B134" s="2">
        <v>1726</v>
      </c>
      <c r="C134" s="2" t="s">
        <v>17</v>
      </c>
      <c r="D134" s="2" t="s">
        <v>149</v>
      </c>
      <c r="E134" s="2">
        <v>1000</v>
      </c>
      <c r="F134" s="6">
        <v>0.1</v>
      </c>
      <c r="G134" s="7" t="s">
        <v>230</v>
      </c>
      <c r="H134" s="2" t="s">
        <v>8</v>
      </c>
    </row>
    <row r="135" spans="1:8" x14ac:dyDescent="0.25">
      <c r="A135" s="1">
        <v>130</v>
      </c>
      <c r="B135" s="2">
        <v>1726</v>
      </c>
      <c r="C135" s="2" t="s">
        <v>19</v>
      </c>
      <c r="D135" s="2" t="s">
        <v>153</v>
      </c>
      <c r="E135" s="2">
        <v>1500</v>
      </c>
      <c r="F135" s="6">
        <v>0.1</v>
      </c>
      <c r="G135" s="7"/>
      <c r="H135" s="2" t="s">
        <v>8</v>
      </c>
    </row>
    <row r="136" spans="1:8" x14ac:dyDescent="0.25">
      <c r="A136" s="1">
        <v>131</v>
      </c>
      <c r="B136" s="2">
        <v>1726</v>
      </c>
      <c r="C136" s="2" t="s">
        <v>99</v>
      </c>
      <c r="D136" s="2" t="s">
        <v>146</v>
      </c>
      <c r="E136" s="2">
        <v>1500</v>
      </c>
      <c r="F136" s="6">
        <v>0.1</v>
      </c>
      <c r="G136" s="7"/>
      <c r="H136" s="2" t="s">
        <v>8</v>
      </c>
    </row>
    <row r="137" spans="1:8" x14ac:dyDescent="0.25">
      <c r="A137" s="1">
        <v>132</v>
      </c>
      <c r="B137" s="2" t="s">
        <v>86</v>
      </c>
      <c r="C137" s="2" t="s">
        <v>87</v>
      </c>
      <c r="D137" s="2" t="s">
        <v>225</v>
      </c>
      <c r="E137" s="2">
        <v>600</v>
      </c>
      <c r="F137" s="6">
        <v>0.1</v>
      </c>
      <c r="G137" s="7"/>
      <c r="H137" s="2" t="s">
        <v>8</v>
      </c>
    </row>
    <row r="138" spans="1:8" x14ac:dyDescent="0.25">
      <c r="A138" s="1">
        <v>133</v>
      </c>
      <c r="B138" s="2" t="s">
        <v>86</v>
      </c>
      <c r="C138" s="2" t="s">
        <v>88</v>
      </c>
      <c r="D138" s="2" t="s">
        <v>146</v>
      </c>
      <c r="E138" s="2">
        <v>2000</v>
      </c>
      <c r="F138" s="6">
        <v>0.1</v>
      </c>
      <c r="G138" s="7"/>
      <c r="H138" s="2" t="s">
        <v>8</v>
      </c>
    </row>
    <row r="140" spans="1:8" x14ac:dyDescent="0.25">
      <c r="C140" s="16" t="s">
        <v>254</v>
      </c>
      <c r="F140" s="11">
        <f>AVERAGE(F23:F138)</f>
        <v>0.14869565217391331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Giakoumis</dc:creator>
  <cp:lastModifiedBy>Konstantinos Giakoumis</cp:lastModifiedBy>
  <cp:lastPrinted>2017-08-04T17:56:26Z</cp:lastPrinted>
  <dcterms:created xsi:type="dcterms:W3CDTF">2017-06-14T05:41:51Z</dcterms:created>
  <dcterms:modified xsi:type="dcterms:W3CDTF">2024-04-25T22:34:17Z</dcterms:modified>
</cp:coreProperties>
</file>
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ostas\Kostas New\Articles\Unpublished Voskopojar Economy\"/>
    </mc:Choice>
  </mc:AlternateContent>
  <bookViews>
    <workbookView xWindow="0" yWindow="0" windowWidth="28800" windowHeight="130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D15" i="1"/>
  <c r="D14" i="1"/>
  <c r="D12" i="1"/>
  <c r="D11" i="1"/>
  <c r="D10" i="1"/>
  <c r="D9" i="1"/>
  <c r="D8" i="1"/>
  <c r="D7" i="1"/>
  <c r="D6" i="1"/>
  <c r="D5" i="1"/>
  <c r="D4" i="1"/>
  <c r="D3" i="1"/>
  <c r="C16" i="1"/>
</calcChain>
</file>

<file path=xl/sharedStrings.xml><?xml version="1.0" encoding="utf-8"?>
<sst xmlns="http://schemas.openxmlformats.org/spreadsheetml/2006/main" count="20" uniqueCount="20">
  <si>
    <t>From the sons of the masters …………………………</t>
  </si>
  <si>
    <t>kuruş</t>
  </si>
  <si>
    <t>From the cap-makers …………………………………</t>
  </si>
  <si>
    <r>
      <t xml:space="preserve">From capitals and interests we received </t>
    </r>
    <r>
      <rPr>
        <sz val="10"/>
        <color rgb="FF1F497D"/>
        <rFont val="Palatino Linotype"/>
        <family val="1"/>
      </rPr>
      <t>……………</t>
    </r>
  </si>
  <si>
    <r>
      <t>From capitals we received</t>
    </r>
    <r>
      <rPr>
        <sz val="10"/>
        <color rgb="FF1F497D"/>
        <rFont val="Palatino Linotype"/>
        <family val="1"/>
      </rPr>
      <t xml:space="preserve"> ……………………………</t>
    </r>
  </si>
  <si>
    <t>From Michos Papandria for the debt he had</t>
  </si>
  <si>
    <r>
      <t>We further sold the cow skins and received</t>
    </r>
    <r>
      <rPr>
        <sz val="10"/>
        <color rgb="FF1F497D"/>
        <rFont val="Palatino Linotype"/>
        <family val="1"/>
      </rPr>
      <t xml:space="preserve"> …………………………………</t>
    </r>
  </si>
  <si>
    <r>
      <t>Additionally, from sheep skins</t>
    </r>
    <r>
      <rPr>
        <sz val="10"/>
        <color rgb="FF1F497D"/>
        <rFont val="Palatino Linotype"/>
        <family val="1"/>
      </rPr>
      <t xml:space="preserve"> ………………………</t>
    </r>
  </si>
  <si>
    <r>
      <t>Furthermore, from the vessels left over from the testing ceremony and then from the wine barrels</t>
    </r>
    <r>
      <rPr>
        <sz val="10"/>
        <color rgb="FF1F497D"/>
        <rFont val="Palatino Linotype"/>
        <family val="1"/>
      </rPr>
      <t xml:space="preserve"> ……</t>
    </r>
  </si>
  <si>
    <r>
      <t>In addition, from the soap we bought for the needs of our guild whose left-over was provisioned in the budget to sell, we received</t>
    </r>
    <r>
      <rPr>
        <sz val="10"/>
        <color rgb="FF1F497D"/>
        <rFont val="Palatino Linotype"/>
        <family val="1"/>
      </rPr>
      <t xml:space="preserve"> </t>
    </r>
  </si>
  <si>
    <r>
      <t>We also received Timtzo Tzangara’s fine</t>
    </r>
    <r>
      <rPr>
        <sz val="10"/>
        <color rgb="FF1F497D"/>
        <rFont val="Palatino Linotype"/>
        <family val="1"/>
      </rPr>
      <t xml:space="preserve"> …</t>
    </r>
  </si>
  <si>
    <t>We also received the fine of Thanasis Papagianni Biakou</t>
  </si>
  <si>
    <r>
      <t>We also received from Tondo Kotzio for the bayrak [flag] he held</t>
    </r>
    <r>
      <rPr>
        <sz val="10"/>
        <color rgb="FF1F497D"/>
        <rFont val="Palatino Linotype"/>
        <family val="1"/>
      </rPr>
      <t xml:space="preserve"> …………</t>
    </r>
  </si>
  <si>
    <r>
      <t>We also receive the fine of Thanasis Pizios</t>
    </r>
    <r>
      <rPr>
        <sz val="10"/>
        <color rgb="FF1F497D"/>
        <rFont val="Palatino Linotype"/>
        <family val="1"/>
      </rPr>
      <t xml:space="preserve"> ………………</t>
    </r>
  </si>
  <si>
    <r>
      <t>And from Giorgis of Alexos Tzitzinika</t>
    </r>
    <r>
      <rPr>
        <sz val="10"/>
        <color rgb="FF1F497D"/>
        <rFont val="Palatino Linotype"/>
        <family val="1"/>
      </rPr>
      <t xml:space="preserve"> ………………</t>
    </r>
  </si>
  <si>
    <t>#</t>
  </si>
  <si>
    <t>Reason</t>
  </si>
  <si>
    <t>Sum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</si>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</sst>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497D"/>
      <name val="Times New Roman"/>
      <family val="1"/>
    </font>
    <font>
      <i/>
      <sz val="10"/>
      <color rgb="FF1F497D"/>
      <name val="Palatino Linotype"/>
      <family val="1"/>
    </font>
    <font>
      <sz val="10"/>
      <color rgb="FF1F497D"/>
      <name val="Palatino Linotype"/>
      <family val="1"/>
    </font>
    <font>
      <strike/>
      <sz val="10"/>
      <color rgb="FF1F497D"/>
      <name val="Palatino Linotype"/>
      <family val="1"/>
    </font>
    <font>
      <b/>
      <sz val="14"/>
      <color theme="1"/>
      <name val="Calibri"/>
      <family val="2"/>
      <scheme val="minor"/>
    </font>
    <font>
      <b/>
      <sz val="10"/>
      <color rgb="FF1F497D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14" sqref="D14"/>
    </sheetView>
  </sheetViews>
  <sheetFormatPr defaultRowHeight="15" x14ac:dyDescent="0.25"/>
  <cols>
    <col min="2" max="2" width="62.85546875" customWidth="1"/>
    <col min="3" max="3" width="17.28515625" customWidth="1"/>
  </cols>
  <sheetData>
    <row r="1" spans="1:4" ht="18.75" x14ac:dyDescent="0.25">
      <c r="A1" s="9" t="s">
        <v>15</v>
      </c>
      <c r="B1" s="9" t="s">
        <v>16</v>
      </c>
      <c r="C1" s="9" t="s">
        <v>17</v>
      </c>
      <c r="D1" s="9" t="s">
        <v>19</v>
      </c>
    </row>
    <row r="2" spans="1:4" ht="14.25" customHeight="1" x14ac:dyDescent="0.25">
      <c r="A2" s="8">
        <v>1</v>
      </c>
      <c r="B2" s="2" t="s">
        <v>0</v>
      </c>
      <c r="C2" s="3" t="s">
        <v>1</v>
      </c>
      <c r="D2" s="1"/>
    </row>
    <row r="3" spans="1:4" ht="12" customHeight="1" x14ac:dyDescent="0.25">
      <c r="A3" s="8">
        <v>2</v>
      </c>
      <c r="B3" s="2" t="s">
        <v>2</v>
      </c>
      <c r="C3" s="4">
        <v>21000</v>
      </c>
      <c r="D3" s="11">
        <f>C3/C16</f>
        <v>0.2909594735019051</v>
      </c>
    </row>
    <row r="4" spans="1:4" ht="15.75" customHeight="1" x14ac:dyDescent="0.25">
      <c r="A4" s="8">
        <v>3</v>
      </c>
      <c r="B4" s="2" t="s">
        <v>3</v>
      </c>
      <c r="C4" s="4">
        <v>34580</v>
      </c>
      <c r="D4" s="11">
        <f>C4/C16</f>
        <v>0.47911326636647039</v>
      </c>
    </row>
    <row r="5" spans="1:4" ht="15.75" customHeight="1" x14ac:dyDescent="0.25">
      <c r="A5" s="8">
        <v>4</v>
      </c>
      <c r="B5" s="5" t="s">
        <v>4</v>
      </c>
      <c r="C5" s="6"/>
      <c r="D5" s="11">
        <f>C5/C16</f>
        <v>0</v>
      </c>
    </row>
    <row r="6" spans="1:4" ht="16.5" customHeight="1" x14ac:dyDescent="0.25">
      <c r="A6" s="8">
        <v>5</v>
      </c>
      <c r="B6" s="2" t="s">
        <v>5</v>
      </c>
      <c r="C6" s="4">
        <v>3329</v>
      </c>
      <c r="D6" s="11">
        <f>C6/C16</f>
        <v>4.6124004156563904E-2</v>
      </c>
    </row>
    <row r="7" spans="1:4" ht="14.25" customHeight="1" x14ac:dyDescent="0.25">
      <c r="A7" s="8">
        <v>6</v>
      </c>
      <c r="B7" s="2" t="s">
        <v>6</v>
      </c>
      <c r="C7" s="4">
        <v>1500</v>
      </c>
      <c r="D7" s="11">
        <f>C7/C16</f>
        <v>2.0782819535850365E-2</v>
      </c>
    </row>
    <row r="8" spans="1:4" ht="18" customHeight="1" x14ac:dyDescent="0.25">
      <c r="A8" s="8">
        <v>7</v>
      </c>
      <c r="B8" s="2" t="s">
        <v>7</v>
      </c>
      <c r="C8" s="4">
        <v>3144</v>
      </c>
      <c r="D8" s="11">
        <f>C8/C16</f>
        <v>4.3560789747142364E-2</v>
      </c>
    </row>
    <row r="9" spans="1:4" ht="22.5" customHeight="1" x14ac:dyDescent="0.25">
      <c r="A9" s="8">
        <v>8</v>
      </c>
      <c r="B9" s="2" t="s">
        <v>8</v>
      </c>
      <c r="C9" s="4">
        <v>3772</v>
      </c>
      <c r="D9" s="11">
        <f>C9/C16</f>
        <v>5.2261863526151711E-2</v>
      </c>
    </row>
    <row r="10" spans="1:4" ht="30.75" customHeight="1" x14ac:dyDescent="0.25">
      <c r="A10" s="8">
        <v>9</v>
      </c>
      <c r="B10" s="2" t="s">
        <v>9</v>
      </c>
      <c r="C10" s="4">
        <v>850</v>
      </c>
      <c r="D10" s="11">
        <f>C10/C16</f>
        <v>1.1776931070315206E-2</v>
      </c>
    </row>
    <row r="11" spans="1:4" ht="18" customHeight="1" x14ac:dyDescent="0.25">
      <c r="A11" s="8">
        <v>10</v>
      </c>
      <c r="B11" s="2" t="s">
        <v>10</v>
      </c>
      <c r="C11" s="4">
        <v>720</v>
      </c>
      <c r="D11" s="11">
        <f>C11/C16</f>
        <v>9.9757533772081748E-3</v>
      </c>
    </row>
    <row r="12" spans="1:4" ht="16.5" customHeight="1" x14ac:dyDescent="0.25">
      <c r="A12" s="8">
        <v>11</v>
      </c>
      <c r="B12" s="2" t="s">
        <v>11</v>
      </c>
      <c r="C12" s="4">
        <v>1200</v>
      </c>
      <c r="D12" s="11">
        <f>C12/C16</f>
        <v>1.6626255628680291E-2</v>
      </c>
    </row>
    <row r="13" spans="1:4" ht="20.25" customHeight="1" x14ac:dyDescent="0.25">
      <c r="A13" s="8">
        <v>12</v>
      </c>
      <c r="B13" s="2" t="s">
        <v>12</v>
      </c>
      <c r="C13" s="4">
        <v>400</v>
      </c>
      <c r="D13" s="11">
        <f>C13/C16</f>
        <v>5.5420852095600971E-3</v>
      </c>
    </row>
    <row r="14" spans="1:4" ht="18.75" customHeight="1" x14ac:dyDescent="0.25">
      <c r="A14" s="8">
        <v>13</v>
      </c>
      <c r="B14" s="2" t="s">
        <v>13</v>
      </c>
      <c r="C14" s="4">
        <v>1200</v>
      </c>
      <c r="D14" s="11">
        <f>C14/C16</f>
        <v>1.6626255628680291E-2</v>
      </c>
    </row>
    <row r="15" spans="1:4" ht="21.75" customHeight="1" x14ac:dyDescent="0.25">
      <c r="A15" s="8">
        <v>14</v>
      </c>
      <c r="B15" s="2" t="s">
        <v>14</v>
      </c>
      <c r="C15" s="4">
        <v>480</v>
      </c>
      <c r="D15" s="11">
        <f>C15/C16</f>
        <v>6.6505022514721165E-3</v>
      </c>
    </row>
    <row r="16" spans="1:4" x14ac:dyDescent="0.25">
      <c r="A16" s="1"/>
      <c r="B16" s="10" t="s">
        <v>18</v>
      </c>
      <c r="C16" s="7">
        <f>SUM(C3:C15)</f>
        <v>72175</v>
      </c>
      <c r="D16" s="1"/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Giakoumis</dc:creator>
  <cp:lastModifiedBy>K. Giakoumis</cp:lastModifiedBy>
  <dcterms:created xsi:type="dcterms:W3CDTF">2017-08-11T08:26:08Z</dcterms:created>
  <dcterms:modified xsi:type="dcterms:W3CDTF">2017-08-11T08:36:47Z</dcterms:modified>
</cp:coreProperties>
</file>